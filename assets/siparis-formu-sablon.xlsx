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70226AF-8C1D-4BBA-A4D2-6952F8806F69}" xr6:coauthVersionLast="47" xr6:coauthVersionMax="47" xr10:uidLastSave="{00000000-0000-0000-0000-000000000000}"/>
  <bookViews>
    <workbookView xWindow="-108" yWindow="-108" windowWidth="23256" windowHeight="12456" tabRatio="908" firstSheet="1" activeTab="1" xr2:uid="{00000000-000D-0000-FFFF-FFFF00000000}"/>
  </bookViews>
  <sheets>
    <sheet name="KUMAŞ SİPARİŞ FORMU" sheetId="21" state="hidden" r:id="rId1"/>
    <sheet name="SİPARİŞ FORMU" sheetId="1" r:id="rId2"/>
    <sheet name="Pastal" sheetId="15" state="hidden" r:id="rId3"/>
    <sheet name="Kesim Ölçüleri" sheetId="16" state="hidden" r:id="rId4"/>
    <sheet name="Genel Durum" sheetId="17" r:id="rId5"/>
    <sheet name="No.1" sheetId="22" r:id="rId6"/>
    <sheet name="No.2" sheetId="52" state="hidden" r:id="rId7"/>
    <sheet name="No.3" sheetId="53" state="hidden" r:id="rId8"/>
    <sheet name="No.4" sheetId="54" state="hidden" r:id="rId9"/>
    <sheet name="No.5" sheetId="55" state="hidden" r:id="rId10"/>
    <sheet name="No.6" sheetId="56" state="hidden" r:id="rId11"/>
    <sheet name="No.7" sheetId="57" state="hidden" r:id="rId12"/>
    <sheet name="No.8" sheetId="58" state="hidden" r:id="rId13"/>
    <sheet name="No.9" sheetId="59" state="hidden" r:id="rId14"/>
    <sheet name="No.10" sheetId="60" state="hidden" r:id="rId15"/>
    <sheet name="No.11" sheetId="61" state="hidden" r:id="rId16"/>
    <sheet name="No.12" sheetId="62" state="hidden" r:id="rId17"/>
    <sheet name="No.13" sheetId="63" state="hidden" r:id="rId18"/>
    <sheet name="No.14" sheetId="64" state="hidden" r:id="rId19"/>
    <sheet name="No.15" sheetId="65" state="hidden" r:id="rId20"/>
    <sheet name="No.16" sheetId="66" state="hidden" r:id="rId21"/>
    <sheet name="No.17" sheetId="67" state="hidden" r:id="rId22"/>
    <sheet name="No.18" sheetId="68" state="hidden" r:id="rId23"/>
    <sheet name="No.19" sheetId="69" state="hidden" r:id="rId24"/>
    <sheet name="No.20" sheetId="70" state="hidden" r:id="rId25"/>
    <sheet name="No.21" sheetId="71" state="hidden" r:id="rId26"/>
    <sheet name="No.22" sheetId="72" state="hidden" r:id="rId27"/>
    <sheet name="No.23" sheetId="73" state="hidden" r:id="rId28"/>
    <sheet name="No.24" sheetId="74" state="hidden" r:id="rId29"/>
    <sheet name="No.25" sheetId="75" state="hidden" r:id="rId30"/>
    <sheet name="No.26" sheetId="76" state="hidden" r:id="rId31"/>
    <sheet name="No.27" sheetId="77" state="hidden" r:id="rId32"/>
    <sheet name="No.28" sheetId="78" state="hidden" r:id="rId33"/>
    <sheet name="No.29" sheetId="79" state="hidden" r:id="rId34"/>
    <sheet name="No.30" sheetId="80" state="hidden" r:id="rId35"/>
    <sheet name="MALİYET" sheetId="14" state="hidden" r:id="rId36"/>
    <sheet name="NOTLAR" sheetId="13" state="hidden" r:id="rId37"/>
  </sheets>
  <definedNames>
    <definedName name="_xlnm.Print_Area" localSheetId="0">'KUMAŞ SİPARİŞ FORMU'!$B$1:$I$42</definedName>
    <definedName name="_xlnm.Print_Area" localSheetId="1">'SİPARİŞ FORMU'!$B$1:$I$79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60" l="1"/>
  <c r="D8" i="60"/>
  <c r="D7" i="60"/>
  <c r="D6" i="60"/>
  <c r="D2" i="60"/>
  <c r="D5" i="59"/>
  <c r="D8" i="59"/>
  <c r="D7" i="59"/>
  <c r="D6" i="59"/>
  <c r="D2" i="59"/>
  <c r="D5" i="58"/>
  <c r="D8" i="58"/>
  <c r="D7" i="58"/>
  <c r="D6" i="58"/>
  <c r="D2" i="58"/>
  <c r="D5" i="57"/>
  <c r="D8" i="57"/>
  <c r="D7" i="57"/>
  <c r="D6" i="57"/>
  <c r="D2" i="57"/>
  <c r="D5" i="56"/>
  <c r="D8" i="56"/>
  <c r="D7" i="56"/>
  <c r="D6" i="56"/>
  <c r="D2" i="56"/>
  <c r="D5" i="55"/>
  <c r="D8" i="55"/>
  <c r="D7" i="55"/>
  <c r="D6" i="55"/>
  <c r="D2" i="55"/>
  <c r="D5" i="54"/>
  <c r="D8" i="54"/>
  <c r="D7" i="54"/>
  <c r="D6" i="54"/>
  <c r="D2" i="54"/>
  <c r="D8" i="53"/>
  <c r="D5" i="53"/>
  <c r="D7" i="53"/>
  <c r="D6" i="53"/>
  <c r="D2" i="53"/>
  <c r="D5" i="52"/>
  <c r="D8" i="52"/>
  <c r="D7" i="52"/>
  <c r="D6" i="52"/>
  <c r="D2" i="52"/>
  <c r="M11" i="17"/>
  <c r="L32" i="17"/>
  <c r="L24" i="17"/>
  <c r="L16" i="17"/>
  <c r="BV39" i="80"/>
  <c r="D14" i="80" s="1"/>
  <c r="BU39" i="80"/>
  <c r="BT39" i="80"/>
  <c r="BM36" i="80"/>
  <c r="BL36" i="80"/>
  <c r="BK36" i="80"/>
  <c r="BH36" i="80"/>
  <c r="BG36" i="80"/>
  <c r="BF36" i="80"/>
  <c r="BC36" i="80"/>
  <c r="BB36" i="80"/>
  <c r="BA36" i="80"/>
  <c r="AX36" i="80"/>
  <c r="AW36" i="80"/>
  <c r="AV36" i="80"/>
  <c r="AS36" i="80"/>
  <c r="AR36" i="80"/>
  <c r="D10" i="80" s="1"/>
  <c r="AQ36" i="80"/>
  <c r="AN36" i="80"/>
  <c r="AM36" i="80"/>
  <c r="AL36" i="80"/>
  <c r="AI36" i="80"/>
  <c r="AH36" i="80"/>
  <c r="AG36" i="80"/>
  <c r="AD36" i="80"/>
  <c r="AC36" i="80"/>
  <c r="AB36" i="80"/>
  <c r="Y36" i="80"/>
  <c r="X36" i="80"/>
  <c r="W36" i="80"/>
  <c r="T36" i="80"/>
  <c r="S36" i="80"/>
  <c r="R36" i="80"/>
  <c r="O36" i="80"/>
  <c r="N36" i="80"/>
  <c r="M36" i="80"/>
  <c r="J36" i="80"/>
  <c r="I36" i="80"/>
  <c r="H36" i="80"/>
  <c r="D13" i="80"/>
  <c r="M32" i="17" s="1"/>
  <c r="D12" i="80"/>
  <c r="D4" i="80"/>
  <c r="D3" i="80"/>
  <c r="BV39" i="79"/>
  <c r="D14" i="79" s="1"/>
  <c r="BU39" i="79"/>
  <c r="BT39" i="79"/>
  <c r="D12" i="79" s="1"/>
  <c r="L31" i="17" s="1"/>
  <c r="BM36" i="79"/>
  <c r="BL36" i="79"/>
  <c r="BK36" i="79"/>
  <c r="BH36" i="79"/>
  <c r="BG36" i="79"/>
  <c r="BF36" i="79"/>
  <c r="BC36" i="79"/>
  <c r="BB36" i="79"/>
  <c r="BA36" i="79"/>
  <c r="AX36" i="79"/>
  <c r="AW36" i="79"/>
  <c r="AV36" i="79"/>
  <c r="AS36" i="79"/>
  <c r="AR36" i="79"/>
  <c r="AQ36" i="79"/>
  <c r="AN36" i="79"/>
  <c r="AM36" i="79"/>
  <c r="AL36" i="79"/>
  <c r="AI36" i="79"/>
  <c r="AH36" i="79"/>
  <c r="AG36" i="79"/>
  <c r="AD36" i="79"/>
  <c r="AC36" i="79"/>
  <c r="AB36" i="79"/>
  <c r="Y36" i="79"/>
  <c r="X36" i="79"/>
  <c r="W36" i="79"/>
  <c r="T36" i="79"/>
  <c r="S36" i="79"/>
  <c r="R36" i="79"/>
  <c r="O36" i="79"/>
  <c r="N36" i="79"/>
  <c r="M36" i="79"/>
  <c r="J36" i="79"/>
  <c r="D11" i="79" s="1"/>
  <c r="D17" i="79" s="1"/>
  <c r="I36" i="79"/>
  <c r="D10" i="79" s="1"/>
  <c r="H36" i="79"/>
  <c r="D13" i="79"/>
  <c r="M31" i="17" s="1"/>
  <c r="D4" i="79"/>
  <c r="D3" i="79"/>
  <c r="BV39" i="78"/>
  <c r="BU39" i="78"/>
  <c r="BT39" i="78"/>
  <c r="BM36" i="78"/>
  <c r="BL36" i="78"/>
  <c r="BK36" i="78"/>
  <c r="BH36" i="78"/>
  <c r="BG36" i="78"/>
  <c r="BF36" i="78"/>
  <c r="BC36" i="78"/>
  <c r="BB36" i="78"/>
  <c r="BA36" i="78"/>
  <c r="AX36" i="78"/>
  <c r="AW36" i="78"/>
  <c r="AV36" i="78"/>
  <c r="AS36" i="78"/>
  <c r="AR36" i="78"/>
  <c r="AQ36" i="78"/>
  <c r="AN36" i="78"/>
  <c r="AM36" i="78"/>
  <c r="AL36" i="78"/>
  <c r="AI36" i="78"/>
  <c r="AH36" i="78"/>
  <c r="AG36" i="78"/>
  <c r="AD36" i="78"/>
  <c r="AC36" i="78"/>
  <c r="AB36" i="78"/>
  <c r="Y36" i="78"/>
  <c r="X36" i="78"/>
  <c r="W36" i="78"/>
  <c r="T36" i="78"/>
  <c r="S36" i="78"/>
  <c r="D10" i="78" s="1"/>
  <c r="R36" i="78"/>
  <c r="O36" i="78"/>
  <c r="N36" i="78"/>
  <c r="M36" i="78"/>
  <c r="J36" i="78"/>
  <c r="I36" i="78"/>
  <c r="H36" i="78"/>
  <c r="D14" i="78"/>
  <c r="D13" i="78"/>
  <c r="M30" i="17" s="1"/>
  <c r="D12" i="78"/>
  <c r="L30" i="17" s="1"/>
  <c r="D4" i="78"/>
  <c r="D3" i="78"/>
  <c r="BV39" i="77"/>
  <c r="D14" i="77" s="1"/>
  <c r="BU39" i="77"/>
  <c r="BT39" i="77"/>
  <c r="D12" i="77" s="1"/>
  <c r="L29" i="17" s="1"/>
  <c r="BM36" i="77"/>
  <c r="BL36" i="77"/>
  <c r="BK36" i="77"/>
  <c r="BH36" i="77"/>
  <c r="BG36" i="77"/>
  <c r="BF36" i="77"/>
  <c r="BC36" i="77"/>
  <c r="BB36" i="77"/>
  <c r="BA36" i="77"/>
  <c r="AX36" i="77"/>
  <c r="AW36" i="77"/>
  <c r="AV36" i="77"/>
  <c r="AS36" i="77"/>
  <c r="AR36" i="77"/>
  <c r="AQ36" i="77"/>
  <c r="AN36" i="77"/>
  <c r="D11" i="77" s="1"/>
  <c r="D17" i="77" s="1"/>
  <c r="AM36" i="77"/>
  <c r="AL36" i="77"/>
  <c r="AI36" i="77"/>
  <c r="AH36" i="77"/>
  <c r="AG36" i="77"/>
  <c r="AD36" i="77"/>
  <c r="AC36" i="77"/>
  <c r="AB36" i="77"/>
  <c r="Y36" i="77"/>
  <c r="X36" i="77"/>
  <c r="W36" i="77"/>
  <c r="T36" i="77"/>
  <c r="S36" i="77"/>
  <c r="R36" i="77"/>
  <c r="O36" i="77"/>
  <c r="N36" i="77"/>
  <c r="D10" i="77" s="1"/>
  <c r="M36" i="77"/>
  <c r="J36" i="77"/>
  <c r="I36" i="77"/>
  <c r="H36" i="77"/>
  <c r="D13" i="77"/>
  <c r="M29" i="17" s="1"/>
  <c r="D4" i="77"/>
  <c r="D3" i="77"/>
  <c r="BV39" i="76"/>
  <c r="BU39" i="76"/>
  <c r="BT39" i="76"/>
  <c r="BM36" i="76"/>
  <c r="BL36" i="76"/>
  <c r="BK36" i="76"/>
  <c r="BH36" i="76"/>
  <c r="BG36" i="76"/>
  <c r="BF36" i="76"/>
  <c r="BC36" i="76"/>
  <c r="BB36" i="76"/>
  <c r="BA36" i="76"/>
  <c r="AX36" i="76"/>
  <c r="AW36" i="76"/>
  <c r="AV36" i="76"/>
  <c r="AS36" i="76"/>
  <c r="AR36" i="76"/>
  <c r="AQ36" i="76"/>
  <c r="AN36" i="76"/>
  <c r="AM36" i="76"/>
  <c r="AL36" i="76"/>
  <c r="AI36" i="76"/>
  <c r="AH36" i="76"/>
  <c r="D10" i="76" s="1"/>
  <c r="AG36" i="76"/>
  <c r="AD36" i="76"/>
  <c r="AC36" i="76"/>
  <c r="AB36" i="76"/>
  <c r="Y36" i="76"/>
  <c r="X36" i="76"/>
  <c r="W36" i="76"/>
  <c r="T36" i="76"/>
  <c r="S36" i="76"/>
  <c r="R36" i="76"/>
  <c r="O36" i="76"/>
  <c r="N36" i="76"/>
  <c r="M36" i="76"/>
  <c r="J36" i="76"/>
  <c r="I36" i="76"/>
  <c r="H36" i="76"/>
  <c r="D14" i="76"/>
  <c r="D13" i="76"/>
  <c r="M28" i="17" s="1"/>
  <c r="D12" i="76"/>
  <c r="L28" i="17" s="1"/>
  <c r="D4" i="76"/>
  <c r="D3" i="76"/>
  <c r="BV39" i="75"/>
  <c r="D14" i="75" s="1"/>
  <c r="BU39" i="75"/>
  <c r="D13" i="75" s="1"/>
  <c r="M27" i="17" s="1"/>
  <c r="BT39" i="75"/>
  <c r="D12" i="75" s="1"/>
  <c r="L27" i="17" s="1"/>
  <c r="BM36" i="75"/>
  <c r="BL36" i="75"/>
  <c r="BK36" i="75"/>
  <c r="BH36" i="75"/>
  <c r="BG36" i="75"/>
  <c r="BF36" i="75"/>
  <c r="BC36" i="75"/>
  <c r="BB36" i="75"/>
  <c r="BA36" i="75"/>
  <c r="AX36" i="75"/>
  <c r="AW36" i="75"/>
  <c r="AV36" i="75"/>
  <c r="AS36" i="75"/>
  <c r="AR36" i="75"/>
  <c r="AQ36" i="75"/>
  <c r="AN36" i="75"/>
  <c r="AM36" i="75"/>
  <c r="AL36" i="75"/>
  <c r="AI36" i="75"/>
  <c r="AH36" i="75"/>
  <c r="AG36" i="75"/>
  <c r="AD36" i="75"/>
  <c r="AC36" i="75"/>
  <c r="AB36" i="75"/>
  <c r="Y36" i="75"/>
  <c r="X36" i="75"/>
  <c r="W36" i="75"/>
  <c r="T36" i="75"/>
  <c r="S36" i="75"/>
  <c r="R36" i="75"/>
  <c r="O36" i="75"/>
  <c r="D11" i="75" s="1"/>
  <c r="D17" i="75" s="1"/>
  <c r="N36" i="75"/>
  <c r="M36" i="75"/>
  <c r="J36" i="75"/>
  <c r="I36" i="75"/>
  <c r="H36" i="75"/>
  <c r="D10" i="75"/>
  <c r="K27" i="17" s="1"/>
  <c r="D4" i="75"/>
  <c r="D3" i="75"/>
  <c r="BV39" i="74"/>
  <c r="BU39" i="74"/>
  <c r="BT39" i="74"/>
  <c r="D12" i="74" s="1"/>
  <c r="L26" i="17" s="1"/>
  <c r="BM36" i="74"/>
  <c r="BL36" i="74"/>
  <c r="BK36" i="74"/>
  <c r="BH36" i="74"/>
  <c r="BG36" i="74"/>
  <c r="BF36" i="74"/>
  <c r="BC36" i="74"/>
  <c r="BB36" i="74"/>
  <c r="BA36" i="74"/>
  <c r="AX36" i="74"/>
  <c r="AW36" i="74"/>
  <c r="AV36" i="74"/>
  <c r="AS36" i="74"/>
  <c r="AR36" i="74"/>
  <c r="AQ36" i="74"/>
  <c r="AN36" i="74"/>
  <c r="AM36" i="74"/>
  <c r="AL36" i="74"/>
  <c r="AI36" i="74"/>
  <c r="AH36" i="74"/>
  <c r="AG36" i="74"/>
  <c r="AD36" i="74"/>
  <c r="AC36" i="74"/>
  <c r="AB36" i="74"/>
  <c r="Y36" i="74"/>
  <c r="X36" i="74"/>
  <c r="W36" i="74"/>
  <c r="T36" i="74"/>
  <c r="S36" i="74"/>
  <c r="R36" i="74"/>
  <c r="O36" i="74"/>
  <c r="N36" i="74"/>
  <c r="M36" i="74"/>
  <c r="J36" i="74"/>
  <c r="I36" i="74"/>
  <c r="D10" i="74" s="1"/>
  <c r="H36" i="74"/>
  <c r="D14" i="74"/>
  <c r="D13" i="74"/>
  <c r="M26" i="17" s="1"/>
  <c r="D4" i="74"/>
  <c r="D3" i="74"/>
  <c r="BV39" i="73"/>
  <c r="D14" i="73" s="1"/>
  <c r="BU39" i="73"/>
  <c r="D13" i="73" s="1"/>
  <c r="M25" i="17" s="1"/>
  <c r="BT39" i="73"/>
  <c r="D12" i="73" s="1"/>
  <c r="L25" i="17" s="1"/>
  <c r="BM36" i="73"/>
  <c r="BL36" i="73"/>
  <c r="BK36" i="73"/>
  <c r="BH36" i="73"/>
  <c r="BG36" i="73"/>
  <c r="BF36" i="73"/>
  <c r="BC36" i="73"/>
  <c r="BB36" i="73"/>
  <c r="BA36" i="73"/>
  <c r="AX36" i="73"/>
  <c r="AW36" i="73"/>
  <c r="AV36" i="73"/>
  <c r="AS36" i="73"/>
  <c r="AR36" i="73"/>
  <c r="AQ36" i="73"/>
  <c r="AN36" i="73"/>
  <c r="AM36" i="73"/>
  <c r="AL36" i="73"/>
  <c r="AI36" i="73"/>
  <c r="AH36" i="73"/>
  <c r="AG36" i="73"/>
  <c r="AD36" i="73"/>
  <c r="AC36" i="73"/>
  <c r="D10" i="73" s="1"/>
  <c r="AB36" i="73"/>
  <c r="Y36" i="73"/>
  <c r="X36" i="73"/>
  <c r="W36" i="73"/>
  <c r="T36" i="73"/>
  <c r="S36" i="73"/>
  <c r="R36" i="73"/>
  <c r="O36" i="73"/>
  <c r="D11" i="73" s="1"/>
  <c r="N36" i="73"/>
  <c r="M36" i="73"/>
  <c r="J36" i="73"/>
  <c r="I36" i="73"/>
  <c r="H36" i="73"/>
  <c r="D4" i="73"/>
  <c r="D3" i="73"/>
  <c r="BV39" i="72"/>
  <c r="BU39" i="72"/>
  <c r="BT39" i="72"/>
  <c r="D12" i="72" s="1"/>
  <c r="BM36" i="72"/>
  <c r="BL36" i="72"/>
  <c r="BK36" i="72"/>
  <c r="BH36" i="72"/>
  <c r="BG36" i="72"/>
  <c r="BF36" i="72"/>
  <c r="BC36" i="72"/>
  <c r="BB36" i="72"/>
  <c r="BA36" i="72"/>
  <c r="AX36" i="72"/>
  <c r="AW36" i="72"/>
  <c r="AV36" i="72"/>
  <c r="AS36" i="72"/>
  <c r="AR36" i="72"/>
  <c r="AQ36" i="72"/>
  <c r="AN36" i="72"/>
  <c r="AM36" i="72"/>
  <c r="AL36" i="72"/>
  <c r="AI36" i="72"/>
  <c r="AH36" i="72"/>
  <c r="AG36" i="72"/>
  <c r="AD36" i="72"/>
  <c r="AC36" i="72"/>
  <c r="AB36" i="72"/>
  <c r="Y36" i="72"/>
  <c r="X36" i="72"/>
  <c r="W36" i="72"/>
  <c r="T36" i="72"/>
  <c r="S36" i="72"/>
  <c r="R36" i="72"/>
  <c r="O36" i="72"/>
  <c r="N36" i="72"/>
  <c r="M36" i="72"/>
  <c r="J36" i="72"/>
  <c r="I36" i="72"/>
  <c r="D10" i="72" s="1"/>
  <c r="H36" i="72"/>
  <c r="D14" i="72"/>
  <c r="D13" i="72"/>
  <c r="M24" i="17" s="1"/>
  <c r="D4" i="72"/>
  <c r="D3" i="72"/>
  <c r="BV39" i="71"/>
  <c r="D14" i="71" s="1"/>
  <c r="BU39" i="71"/>
  <c r="D13" i="71" s="1"/>
  <c r="M23" i="17" s="1"/>
  <c r="BT39" i="71"/>
  <c r="D12" i="71" s="1"/>
  <c r="L23" i="17" s="1"/>
  <c r="BM36" i="71"/>
  <c r="BL36" i="71"/>
  <c r="BK36" i="71"/>
  <c r="BH36" i="71"/>
  <c r="BG36" i="71"/>
  <c r="BF36" i="71"/>
  <c r="BC36" i="71"/>
  <c r="BB36" i="71"/>
  <c r="BA36" i="71"/>
  <c r="AX36" i="71"/>
  <c r="AW36" i="71"/>
  <c r="AV36" i="71"/>
  <c r="AS36" i="71"/>
  <c r="AR36" i="71"/>
  <c r="AQ36" i="71"/>
  <c r="AN36" i="71"/>
  <c r="AM36" i="71"/>
  <c r="AL36" i="71"/>
  <c r="AI36" i="71"/>
  <c r="AH36" i="71"/>
  <c r="AG36" i="71"/>
  <c r="AD36" i="71"/>
  <c r="AC36" i="71"/>
  <c r="AB36" i="71"/>
  <c r="Y36" i="71"/>
  <c r="X36" i="71"/>
  <c r="W36" i="71"/>
  <c r="T36" i="71"/>
  <c r="S36" i="71"/>
  <c r="R36" i="71"/>
  <c r="O36" i="71"/>
  <c r="D11" i="71" s="1"/>
  <c r="D17" i="71" s="1"/>
  <c r="N36" i="71"/>
  <c r="M36" i="71"/>
  <c r="J36" i="71"/>
  <c r="I36" i="71"/>
  <c r="H36" i="71"/>
  <c r="D10" i="71"/>
  <c r="D4" i="71"/>
  <c r="D3" i="71"/>
  <c r="BV39" i="70"/>
  <c r="BU39" i="70"/>
  <c r="BT39" i="70"/>
  <c r="D12" i="70" s="1"/>
  <c r="L22" i="17" s="1"/>
  <c r="BM36" i="70"/>
  <c r="BL36" i="70"/>
  <c r="BK36" i="70"/>
  <c r="BH36" i="70"/>
  <c r="BG36" i="70"/>
  <c r="BF36" i="70"/>
  <c r="BC36" i="70"/>
  <c r="BB36" i="70"/>
  <c r="BA36" i="70"/>
  <c r="AX36" i="70"/>
  <c r="AW36" i="70"/>
  <c r="AV36" i="70"/>
  <c r="AS36" i="70"/>
  <c r="AR36" i="70"/>
  <c r="AQ36" i="70"/>
  <c r="AN36" i="70"/>
  <c r="AM36" i="70"/>
  <c r="AL36" i="70"/>
  <c r="AI36" i="70"/>
  <c r="AH36" i="70"/>
  <c r="AG36" i="70"/>
  <c r="AD36" i="70"/>
  <c r="AC36" i="70"/>
  <c r="AB36" i="70"/>
  <c r="Y36" i="70"/>
  <c r="X36" i="70"/>
  <c r="W36" i="70"/>
  <c r="T36" i="70"/>
  <c r="S36" i="70"/>
  <c r="R36" i="70"/>
  <c r="O36" i="70"/>
  <c r="N36" i="70"/>
  <c r="M36" i="70"/>
  <c r="J36" i="70"/>
  <c r="I36" i="70"/>
  <c r="D10" i="70" s="1"/>
  <c r="H36" i="70"/>
  <c r="D14" i="70"/>
  <c r="D13" i="70"/>
  <c r="M22" i="17" s="1"/>
  <c r="D4" i="70"/>
  <c r="D3" i="70"/>
  <c r="BV39" i="69"/>
  <c r="D14" i="69" s="1"/>
  <c r="BU39" i="69"/>
  <c r="D13" i="69" s="1"/>
  <c r="M21" i="17" s="1"/>
  <c r="BT39" i="69"/>
  <c r="D12" i="69" s="1"/>
  <c r="L21" i="17" s="1"/>
  <c r="BM36" i="69"/>
  <c r="BL36" i="69"/>
  <c r="BK36" i="69"/>
  <c r="BH36" i="69"/>
  <c r="BG36" i="69"/>
  <c r="BF36" i="69"/>
  <c r="BC36" i="69"/>
  <c r="BB36" i="69"/>
  <c r="BA36" i="69"/>
  <c r="AX36" i="69"/>
  <c r="AW36" i="69"/>
  <c r="AV36" i="69"/>
  <c r="AS36" i="69"/>
  <c r="AR36" i="69"/>
  <c r="AQ36" i="69"/>
  <c r="AN36" i="69"/>
  <c r="AM36" i="69"/>
  <c r="AL36" i="69"/>
  <c r="AI36" i="69"/>
  <c r="AH36" i="69"/>
  <c r="AG36" i="69"/>
  <c r="AD36" i="69"/>
  <c r="AC36" i="69"/>
  <c r="AB36" i="69"/>
  <c r="Y36" i="69"/>
  <c r="X36" i="69"/>
  <c r="W36" i="69"/>
  <c r="T36" i="69"/>
  <c r="S36" i="69"/>
  <c r="R36" i="69"/>
  <c r="O36" i="69"/>
  <c r="D11" i="69" s="1"/>
  <c r="D17" i="69" s="1"/>
  <c r="N36" i="69"/>
  <c r="M36" i="69"/>
  <c r="J36" i="69"/>
  <c r="I36" i="69"/>
  <c r="H36" i="69"/>
  <c r="D10" i="69"/>
  <c r="D4" i="69"/>
  <c r="D3" i="69"/>
  <c r="BV39" i="68"/>
  <c r="BU39" i="68"/>
  <c r="BT39" i="68"/>
  <c r="D12" i="68" s="1"/>
  <c r="L20" i="17" s="1"/>
  <c r="BM36" i="68"/>
  <c r="BL36" i="68"/>
  <c r="BK36" i="68"/>
  <c r="BH36" i="68"/>
  <c r="BG36" i="68"/>
  <c r="BF36" i="68"/>
  <c r="BC36" i="68"/>
  <c r="BB36" i="68"/>
  <c r="BA36" i="68"/>
  <c r="AX36" i="68"/>
  <c r="AW36" i="68"/>
  <c r="AV36" i="68"/>
  <c r="AS36" i="68"/>
  <c r="AR36" i="68"/>
  <c r="AQ36" i="68"/>
  <c r="AN36" i="68"/>
  <c r="AM36" i="68"/>
  <c r="AL36" i="68"/>
  <c r="AI36" i="68"/>
  <c r="AH36" i="68"/>
  <c r="AG36" i="68"/>
  <c r="AD36" i="68"/>
  <c r="AC36" i="68"/>
  <c r="AB36" i="68"/>
  <c r="Y36" i="68"/>
  <c r="X36" i="68"/>
  <c r="W36" i="68"/>
  <c r="T36" i="68"/>
  <c r="S36" i="68"/>
  <c r="R36" i="68"/>
  <c r="O36" i="68"/>
  <c r="N36" i="68"/>
  <c r="M36" i="68"/>
  <c r="J36" i="68"/>
  <c r="I36" i="68"/>
  <c r="D10" i="68" s="1"/>
  <c r="H36" i="68"/>
  <c r="D14" i="68"/>
  <c r="D13" i="68"/>
  <c r="M20" i="17" s="1"/>
  <c r="D4" i="68"/>
  <c r="D3" i="68"/>
  <c r="BV39" i="67"/>
  <c r="BU39" i="67"/>
  <c r="D13" i="67" s="1"/>
  <c r="M19" i="17" s="1"/>
  <c r="BT39" i="67"/>
  <c r="BM36" i="67"/>
  <c r="BL36" i="67"/>
  <c r="BK36" i="67"/>
  <c r="BH36" i="67"/>
  <c r="BG36" i="67"/>
  <c r="BF36" i="67"/>
  <c r="BC36" i="67"/>
  <c r="BB36" i="67"/>
  <c r="BA36" i="67"/>
  <c r="AX36" i="67"/>
  <c r="AW36" i="67"/>
  <c r="AV36" i="67"/>
  <c r="AS36" i="67"/>
  <c r="AR36" i="67"/>
  <c r="AQ36" i="67"/>
  <c r="AN36" i="67"/>
  <c r="AM36" i="67"/>
  <c r="AL36" i="67"/>
  <c r="AI36" i="67"/>
  <c r="AH36" i="67"/>
  <c r="AG36" i="67"/>
  <c r="AD36" i="67"/>
  <c r="AC36" i="67"/>
  <c r="AB36" i="67"/>
  <c r="Y36" i="67"/>
  <c r="X36" i="67"/>
  <c r="W36" i="67"/>
  <c r="T36" i="67"/>
  <c r="S36" i="67"/>
  <c r="R36" i="67"/>
  <c r="O36" i="67"/>
  <c r="N36" i="67"/>
  <c r="M36" i="67"/>
  <c r="J36" i="67"/>
  <c r="D11" i="67" s="1"/>
  <c r="D17" i="67" s="1"/>
  <c r="I36" i="67"/>
  <c r="H36" i="67"/>
  <c r="D14" i="67"/>
  <c r="D12" i="67"/>
  <c r="L19" i="17" s="1"/>
  <c r="D4" i="67"/>
  <c r="D3" i="67"/>
  <c r="BV39" i="66"/>
  <c r="BU39" i="66"/>
  <c r="D13" i="66" s="1"/>
  <c r="M18" i="17" s="1"/>
  <c r="BT39" i="66"/>
  <c r="D12" i="66" s="1"/>
  <c r="L18" i="17" s="1"/>
  <c r="BM36" i="66"/>
  <c r="BL36" i="66"/>
  <c r="BK36" i="66"/>
  <c r="BH36" i="66"/>
  <c r="BG36" i="66"/>
  <c r="BF36" i="66"/>
  <c r="BC36" i="66"/>
  <c r="BB36" i="66"/>
  <c r="BA36" i="66"/>
  <c r="AX36" i="66"/>
  <c r="AW36" i="66"/>
  <c r="AV36" i="66"/>
  <c r="AS36" i="66"/>
  <c r="AR36" i="66"/>
  <c r="AQ36" i="66"/>
  <c r="AN36" i="66"/>
  <c r="AM36" i="66"/>
  <c r="AL36" i="66"/>
  <c r="AI36" i="66"/>
  <c r="AH36" i="66"/>
  <c r="AG36" i="66"/>
  <c r="AD36" i="66"/>
  <c r="AC36" i="66"/>
  <c r="AB36" i="66"/>
  <c r="Y36" i="66"/>
  <c r="X36" i="66"/>
  <c r="W36" i="66"/>
  <c r="T36" i="66"/>
  <c r="S36" i="66"/>
  <c r="R36" i="66"/>
  <c r="O36" i="66"/>
  <c r="N36" i="66"/>
  <c r="M36" i="66"/>
  <c r="J36" i="66"/>
  <c r="D11" i="66" s="1"/>
  <c r="D17" i="66" s="1"/>
  <c r="I36" i="66"/>
  <c r="H36" i="66"/>
  <c r="D9" i="66" s="1"/>
  <c r="D14" i="66"/>
  <c r="D4" i="66"/>
  <c r="D3" i="66"/>
  <c r="BV39" i="65"/>
  <c r="BU39" i="65"/>
  <c r="D13" i="65" s="1"/>
  <c r="M17" i="17" s="1"/>
  <c r="BT39" i="65"/>
  <c r="BM36" i="65"/>
  <c r="BL36" i="65"/>
  <c r="BK36" i="65"/>
  <c r="BH36" i="65"/>
  <c r="BG36" i="65"/>
  <c r="BF36" i="65"/>
  <c r="BC36" i="65"/>
  <c r="BB36" i="65"/>
  <c r="BA36" i="65"/>
  <c r="AX36" i="65"/>
  <c r="AW36" i="65"/>
  <c r="AV36" i="65"/>
  <c r="AS36" i="65"/>
  <c r="AR36" i="65"/>
  <c r="AQ36" i="65"/>
  <c r="AN36" i="65"/>
  <c r="AM36" i="65"/>
  <c r="AL36" i="65"/>
  <c r="AI36" i="65"/>
  <c r="AH36" i="65"/>
  <c r="AG36" i="65"/>
  <c r="AD36" i="65"/>
  <c r="AC36" i="65"/>
  <c r="AB36" i="65"/>
  <c r="Y36" i="65"/>
  <c r="X36" i="65"/>
  <c r="W36" i="65"/>
  <c r="T36" i="65"/>
  <c r="S36" i="65"/>
  <c r="R36" i="65"/>
  <c r="O36" i="65"/>
  <c r="D11" i="65" s="1"/>
  <c r="D17" i="65" s="1"/>
  <c r="N36" i="65"/>
  <c r="M36" i="65"/>
  <c r="J36" i="65"/>
  <c r="I36" i="65"/>
  <c r="H36" i="65"/>
  <c r="D14" i="65"/>
  <c r="D12" i="65"/>
  <c r="L17" i="17" s="1"/>
  <c r="D4" i="65"/>
  <c r="D3" i="65"/>
  <c r="BV39" i="64"/>
  <c r="BU39" i="64"/>
  <c r="D13" i="64" s="1"/>
  <c r="M16" i="17" s="1"/>
  <c r="BT39" i="64"/>
  <c r="BM36" i="64"/>
  <c r="BL36" i="64"/>
  <c r="BK36" i="64"/>
  <c r="BH36" i="64"/>
  <c r="BG36" i="64"/>
  <c r="BF36" i="64"/>
  <c r="BC36" i="64"/>
  <c r="BB36" i="64"/>
  <c r="BA36" i="64"/>
  <c r="AX36" i="64"/>
  <c r="AW36" i="64"/>
  <c r="AV36" i="64"/>
  <c r="AS36" i="64"/>
  <c r="AR36" i="64"/>
  <c r="AQ36" i="64"/>
  <c r="AN36" i="64"/>
  <c r="AM36" i="64"/>
  <c r="AL36" i="64"/>
  <c r="AI36" i="64"/>
  <c r="AH36" i="64"/>
  <c r="AG36" i="64"/>
  <c r="AD36" i="64"/>
  <c r="AC36" i="64"/>
  <c r="AB36" i="64"/>
  <c r="Y36" i="64"/>
  <c r="X36" i="64"/>
  <c r="W36" i="64"/>
  <c r="D9" i="64" s="1"/>
  <c r="T36" i="64"/>
  <c r="S36" i="64"/>
  <c r="R36" i="64"/>
  <c r="O36" i="64"/>
  <c r="N36" i="64"/>
  <c r="M36" i="64"/>
  <c r="J36" i="64"/>
  <c r="I36" i="64"/>
  <c r="D10" i="64" s="1"/>
  <c r="D16" i="64" s="1"/>
  <c r="H36" i="64"/>
  <c r="D14" i="64"/>
  <c r="D12" i="64"/>
  <c r="D4" i="64"/>
  <c r="D3" i="64"/>
  <c r="BV39" i="63"/>
  <c r="BU39" i="63"/>
  <c r="D13" i="63" s="1"/>
  <c r="M15" i="17" s="1"/>
  <c r="BT39" i="63"/>
  <c r="BM36" i="63"/>
  <c r="BL36" i="63"/>
  <c r="BK36" i="63"/>
  <c r="BH36" i="63"/>
  <c r="BG36" i="63"/>
  <c r="BF36" i="63"/>
  <c r="BC36" i="63"/>
  <c r="BB36" i="63"/>
  <c r="BA36" i="63"/>
  <c r="AX36" i="63"/>
  <c r="AW36" i="63"/>
  <c r="AV36" i="63"/>
  <c r="AS36" i="63"/>
  <c r="AR36" i="63"/>
  <c r="AQ36" i="63"/>
  <c r="AN36" i="63"/>
  <c r="AM36" i="63"/>
  <c r="AL36" i="63"/>
  <c r="AI36" i="63"/>
  <c r="AH36" i="63"/>
  <c r="AG36" i="63"/>
  <c r="AD36" i="63"/>
  <c r="AC36" i="63"/>
  <c r="AB36" i="63"/>
  <c r="Y36" i="63"/>
  <c r="X36" i="63"/>
  <c r="W36" i="63"/>
  <c r="T36" i="63"/>
  <c r="S36" i="63"/>
  <c r="R36" i="63"/>
  <c r="O36" i="63"/>
  <c r="D11" i="63" s="1"/>
  <c r="D17" i="63" s="1"/>
  <c r="N36" i="63"/>
  <c r="M36" i="63"/>
  <c r="J36" i="63"/>
  <c r="I36" i="63"/>
  <c r="H36" i="63"/>
  <c r="D14" i="63"/>
  <c r="D12" i="63"/>
  <c r="L15" i="17" s="1"/>
  <c r="D4" i="63"/>
  <c r="D3" i="63"/>
  <c r="BV39" i="62"/>
  <c r="BU39" i="62"/>
  <c r="D13" i="62" s="1"/>
  <c r="M14" i="17" s="1"/>
  <c r="BT39" i="62"/>
  <c r="BM36" i="62"/>
  <c r="BL36" i="62"/>
  <c r="BK36" i="62"/>
  <c r="BH36" i="62"/>
  <c r="BG36" i="62"/>
  <c r="BF36" i="62"/>
  <c r="BC36" i="62"/>
  <c r="BB36" i="62"/>
  <c r="BA36" i="62"/>
  <c r="AX36" i="62"/>
  <c r="AW36" i="62"/>
  <c r="AV36" i="62"/>
  <c r="AS36" i="62"/>
  <c r="AR36" i="62"/>
  <c r="AQ36" i="62"/>
  <c r="AN36" i="62"/>
  <c r="AM36" i="62"/>
  <c r="AL36" i="62"/>
  <c r="AI36" i="62"/>
  <c r="AH36" i="62"/>
  <c r="AG36" i="62"/>
  <c r="AD36" i="62"/>
  <c r="AC36" i="62"/>
  <c r="AB36" i="62"/>
  <c r="Y36" i="62"/>
  <c r="X36" i="62"/>
  <c r="W36" i="62"/>
  <c r="T36" i="62"/>
  <c r="S36" i="62"/>
  <c r="R36" i="62"/>
  <c r="O36" i="62"/>
  <c r="N36" i="62"/>
  <c r="M36" i="62"/>
  <c r="J36" i="62"/>
  <c r="D11" i="62" s="1"/>
  <c r="D17" i="62" s="1"/>
  <c r="I36" i="62"/>
  <c r="H36" i="62"/>
  <c r="D9" i="62" s="1"/>
  <c r="D14" i="62"/>
  <c r="D12" i="62"/>
  <c r="L14" i="17" s="1"/>
  <c r="D4" i="62"/>
  <c r="D3" i="62"/>
  <c r="BV39" i="61"/>
  <c r="BU39" i="61"/>
  <c r="BT39" i="61"/>
  <c r="BM36" i="61"/>
  <c r="BL36" i="61"/>
  <c r="BK36" i="61"/>
  <c r="BH36" i="61"/>
  <c r="BG36" i="61"/>
  <c r="BF36" i="61"/>
  <c r="BC36" i="61"/>
  <c r="BB36" i="61"/>
  <c r="BA36" i="61"/>
  <c r="AX36" i="61"/>
  <c r="AW36" i="61"/>
  <c r="AV36" i="61"/>
  <c r="AS36" i="61"/>
  <c r="AR36" i="61"/>
  <c r="AQ36" i="61"/>
  <c r="AN36" i="61"/>
  <c r="AM36" i="61"/>
  <c r="AL36" i="61"/>
  <c r="AI36" i="61"/>
  <c r="AH36" i="61"/>
  <c r="AG36" i="61"/>
  <c r="AD36" i="61"/>
  <c r="D11" i="61" s="1"/>
  <c r="D17" i="61" s="1"/>
  <c r="AC36" i="61"/>
  <c r="AB36" i="61"/>
  <c r="Y36" i="61"/>
  <c r="X36" i="61"/>
  <c r="W36" i="61"/>
  <c r="T36" i="61"/>
  <c r="S36" i="61"/>
  <c r="R36" i="61"/>
  <c r="O36" i="61"/>
  <c r="N36" i="61"/>
  <c r="M36" i="61"/>
  <c r="J36" i="61"/>
  <c r="I36" i="61"/>
  <c r="H36" i="61"/>
  <c r="D14" i="61"/>
  <c r="D13" i="61"/>
  <c r="M13" i="17" s="1"/>
  <c r="D12" i="61"/>
  <c r="L13" i="17" s="1"/>
  <c r="D4" i="61"/>
  <c r="D3" i="61"/>
  <c r="BV39" i="60"/>
  <c r="BU39" i="60"/>
  <c r="D13" i="60" s="1"/>
  <c r="M12" i="17" s="1"/>
  <c r="BT39" i="60"/>
  <c r="D12" i="60" s="1"/>
  <c r="L12" i="17" s="1"/>
  <c r="BM36" i="60"/>
  <c r="BL36" i="60"/>
  <c r="BK36" i="60"/>
  <c r="BH36" i="60"/>
  <c r="BG36" i="60"/>
  <c r="BF36" i="60"/>
  <c r="BC36" i="60"/>
  <c r="BB36" i="60"/>
  <c r="BA36" i="60"/>
  <c r="AX36" i="60"/>
  <c r="AW36" i="60"/>
  <c r="AV36" i="60"/>
  <c r="AS36" i="60"/>
  <c r="AR36" i="60"/>
  <c r="AQ36" i="60"/>
  <c r="AN36" i="60"/>
  <c r="AM36" i="60"/>
  <c r="AL36" i="60"/>
  <c r="AI36" i="60"/>
  <c r="AH36" i="60"/>
  <c r="AG36" i="60"/>
  <c r="AD36" i="60"/>
  <c r="AC36" i="60"/>
  <c r="AB36" i="60"/>
  <c r="Y36" i="60"/>
  <c r="X36" i="60"/>
  <c r="W36" i="60"/>
  <c r="T36" i="60"/>
  <c r="S36" i="60"/>
  <c r="R36" i="60"/>
  <c r="O36" i="60"/>
  <c r="N36" i="60"/>
  <c r="M36" i="60"/>
  <c r="J36" i="60"/>
  <c r="I36" i="60"/>
  <c r="H36" i="60"/>
  <c r="D9" i="60" s="1"/>
  <c r="D14" i="60"/>
  <c r="D4" i="60"/>
  <c r="D3" i="60"/>
  <c r="BV39" i="59"/>
  <c r="BU39" i="59"/>
  <c r="BT39" i="59"/>
  <c r="BM36" i="59"/>
  <c r="BL36" i="59"/>
  <c r="BK36" i="59"/>
  <c r="BH36" i="59"/>
  <c r="BG36" i="59"/>
  <c r="BF36" i="59"/>
  <c r="BC36" i="59"/>
  <c r="BB36" i="59"/>
  <c r="BA36" i="59"/>
  <c r="AX36" i="59"/>
  <c r="AW36" i="59"/>
  <c r="AV36" i="59"/>
  <c r="AS36" i="59"/>
  <c r="AR36" i="59"/>
  <c r="AQ36" i="59"/>
  <c r="AN36" i="59"/>
  <c r="AM36" i="59"/>
  <c r="AL36" i="59"/>
  <c r="AI36" i="59"/>
  <c r="AH36" i="59"/>
  <c r="AG36" i="59"/>
  <c r="AD36" i="59"/>
  <c r="AC36" i="59"/>
  <c r="AB36" i="59"/>
  <c r="Y36" i="59"/>
  <c r="X36" i="59"/>
  <c r="W36" i="59"/>
  <c r="T36" i="59"/>
  <c r="D11" i="59" s="1"/>
  <c r="D17" i="59" s="1"/>
  <c r="S36" i="59"/>
  <c r="R36" i="59"/>
  <c r="O36" i="59"/>
  <c r="N36" i="59"/>
  <c r="M36" i="59"/>
  <c r="J36" i="59"/>
  <c r="I36" i="59"/>
  <c r="H36" i="59"/>
  <c r="D9" i="59" s="1"/>
  <c r="J11" i="17" s="1"/>
  <c r="D14" i="59"/>
  <c r="D13" i="59"/>
  <c r="D12" i="59"/>
  <c r="L11" i="17" s="1"/>
  <c r="D4" i="59"/>
  <c r="D3" i="59"/>
  <c r="BV39" i="58"/>
  <c r="BU39" i="58"/>
  <c r="D13" i="58" s="1"/>
  <c r="M10" i="17" s="1"/>
  <c r="BT39" i="58"/>
  <c r="BM36" i="58"/>
  <c r="BL36" i="58"/>
  <c r="BK36" i="58"/>
  <c r="BH36" i="58"/>
  <c r="BG36" i="58"/>
  <c r="BF36" i="58"/>
  <c r="BC36" i="58"/>
  <c r="BB36" i="58"/>
  <c r="BA36" i="58"/>
  <c r="AX36" i="58"/>
  <c r="AW36" i="58"/>
  <c r="AV36" i="58"/>
  <c r="AS36" i="58"/>
  <c r="AR36" i="58"/>
  <c r="AQ36" i="58"/>
  <c r="AN36" i="58"/>
  <c r="AM36" i="58"/>
  <c r="AL36" i="58"/>
  <c r="AI36" i="58"/>
  <c r="AH36" i="58"/>
  <c r="AG36" i="58"/>
  <c r="AD36" i="58"/>
  <c r="AC36" i="58"/>
  <c r="AB36" i="58"/>
  <c r="Y36" i="58"/>
  <c r="X36" i="58"/>
  <c r="W36" i="58"/>
  <c r="T36" i="58"/>
  <c r="S36" i="58"/>
  <c r="R36" i="58"/>
  <c r="O36" i="58"/>
  <c r="N36" i="58"/>
  <c r="M36" i="58"/>
  <c r="J36" i="58"/>
  <c r="I36" i="58"/>
  <c r="H36" i="58"/>
  <c r="D14" i="58"/>
  <c r="D12" i="58"/>
  <c r="L10" i="17" s="1"/>
  <c r="D9" i="58"/>
  <c r="D19" i="58" s="1"/>
  <c r="D4" i="58"/>
  <c r="D3" i="58"/>
  <c r="BV39" i="57"/>
  <c r="BU39" i="57"/>
  <c r="BT39" i="57"/>
  <c r="BM36" i="57"/>
  <c r="BL36" i="57"/>
  <c r="BK36" i="57"/>
  <c r="BH36" i="57"/>
  <c r="BG36" i="57"/>
  <c r="BF36" i="57"/>
  <c r="BC36" i="57"/>
  <c r="BB36" i="57"/>
  <c r="BA36" i="57"/>
  <c r="AX36" i="57"/>
  <c r="AW36" i="57"/>
  <c r="AV36" i="57"/>
  <c r="AS36" i="57"/>
  <c r="AR36" i="57"/>
  <c r="AQ36" i="57"/>
  <c r="AN36" i="57"/>
  <c r="AM36" i="57"/>
  <c r="AL36" i="57"/>
  <c r="AI36" i="57"/>
  <c r="AH36" i="57"/>
  <c r="AG36" i="57"/>
  <c r="AD36" i="57"/>
  <c r="AC36" i="57"/>
  <c r="AB36" i="57"/>
  <c r="Y36" i="57"/>
  <c r="X36" i="57"/>
  <c r="W36" i="57"/>
  <c r="T36" i="57"/>
  <c r="S36" i="57"/>
  <c r="R36" i="57"/>
  <c r="O36" i="57"/>
  <c r="N36" i="57"/>
  <c r="M36" i="57"/>
  <c r="J36" i="57"/>
  <c r="D11" i="57" s="1"/>
  <c r="D17" i="57" s="1"/>
  <c r="I36" i="57"/>
  <c r="D10" i="57" s="1"/>
  <c r="D16" i="57" s="1"/>
  <c r="H36" i="57"/>
  <c r="D14" i="57"/>
  <c r="D13" i="57"/>
  <c r="M9" i="17" s="1"/>
  <c r="D12" i="57"/>
  <c r="L9" i="17" s="1"/>
  <c r="D4" i="57"/>
  <c r="D3" i="57"/>
  <c r="BV39" i="56"/>
  <c r="D14" i="56" s="1"/>
  <c r="BU39" i="56"/>
  <c r="D13" i="56" s="1"/>
  <c r="M8" i="17" s="1"/>
  <c r="BT39" i="56"/>
  <c r="BM36" i="56"/>
  <c r="BL36" i="56"/>
  <c r="BK36" i="56"/>
  <c r="BH36" i="56"/>
  <c r="BG36" i="56"/>
  <c r="BF36" i="56"/>
  <c r="BC36" i="56"/>
  <c r="BB36" i="56"/>
  <c r="BA36" i="56"/>
  <c r="AX36" i="56"/>
  <c r="AW36" i="56"/>
  <c r="AV36" i="56"/>
  <c r="AS36" i="56"/>
  <c r="AR36" i="56"/>
  <c r="AQ36" i="56"/>
  <c r="AN36" i="56"/>
  <c r="AM36" i="56"/>
  <c r="AL36" i="56"/>
  <c r="AI36" i="56"/>
  <c r="AH36" i="56"/>
  <c r="AG36" i="56"/>
  <c r="AD36" i="56"/>
  <c r="AC36" i="56"/>
  <c r="AB36" i="56"/>
  <c r="Y36" i="56"/>
  <c r="X36" i="56"/>
  <c r="W36" i="56"/>
  <c r="T36" i="56"/>
  <c r="S36" i="56"/>
  <c r="R36" i="56"/>
  <c r="D9" i="56" s="1"/>
  <c r="O36" i="56"/>
  <c r="N36" i="56"/>
  <c r="M36" i="56"/>
  <c r="J36" i="56"/>
  <c r="I36" i="56"/>
  <c r="H36" i="56"/>
  <c r="D12" i="56"/>
  <c r="L8" i="17" s="1"/>
  <c r="D4" i="56"/>
  <c r="D3" i="56"/>
  <c r="BV39" i="55"/>
  <c r="BU39" i="55"/>
  <c r="BT39" i="55"/>
  <c r="BM36" i="55"/>
  <c r="BL36" i="55"/>
  <c r="BK36" i="55"/>
  <c r="BH36" i="55"/>
  <c r="BG36" i="55"/>
  <c r="BF36" i="55"/>
  <c r="BC36" i="55"/>
  <c r="BB36" i="55"/>
  <c r="BA36" i="55"/>
  <c r="AX36" i="55"/>
  <c r="AW36" i="55"/>
  <c r="AV36" i="55"/>
  <c r="AS36" i="55"/>
  <c r="AR36" i="55"/>
  <c r="AQ36" i="55"/>
  <c r="AN36" i="55"/>
  <c r="AM36" i="55"/>
  <c r="AL36" i="55"/>
  <c r="AI36" i="55"/>
  <c r="AH36" i="55"/>
  <c r="AG36" i="55"/>
  <c r="AD36" i="55"/>
  <c r="AC36" i="55"/>
  <c r="AB36" i="55"/>
  <c r="Y36" i="55"/>
  <c r="X36" i="55"/>
  <c r="W36" i="55"/>
  <c r="T36" i="55"/>
  <c r="S36" i="55"/>
  <c r="R36" i="55"/>
  <c r="O36" i="55"/>
  <c r="N36" i="55"/>
  <c r="M36" i="55"/>
  <c r="J36" i="55"/>
  <c r="D11" i="55" s="1"/>
  <c r="D17" i="55" s="1"/>
  <c r="I36" i="55"/>
  <c r="H36" i="55"/>
  <c r="D14" i="55"/>
  <c r="D13" i="55"/>
  <c r="M7" i="17" s="1"/>
  <c r="D12" i="55"/>
  <c r="L7" i="17" s="1"/>
  <c r="D4" i="55"/>
  <c r="D3" i="55"/>
  <c r="BV39" i="54"/>
  <c r="BU39" i="54"/>
  <c r="D13" i="54" s="1"/>
  <c r="M6" i="17" s="1"/>
  <c r="BT39" i="54"/>
  <c r="BM36" i="54"/>
  <c r="BL36" i="54"/>
  <c r="BK36" i="54"/>
  <c r="BH36" i="54"/>
  <c r="BG36" i="54"/>
  <c r="BF36" i="54"/>
  <c r="BC36" i="54"/>
  <c r="BB36" i="54"/>
  <c r="BA36" i="54"/>
  <c r="AX36" i="54"/>
  <c r="AW36" i="54"/>
  <c r="AV36" i="54"/>
  <c r="AS36" i="54"/>
  <c r="AR36" i="54"/>
  <c r="AQ36" i="54"/>
  <c r="AN36" i="54"/>
  <c r="AM36" i="54"/>
  <c r="AL36" i="54"/>
  <c r="AI36" i="54"/>
  <c r="AH36" i="54"/>
  <c r="AG36" i="54"/>
  <c r="D9" i="54" s="1"/>
  <c r="AD36" i="54"/>
  <c r="AC36" i="54"/>
  <c r="AB36" i="54"/>
  <c r="Y36" i="54"/>
  <c r="X36" i="54"/>
  <c r="W36" i="54"/>
  <c r="T36" i="54"/>
  <c r="S36" i="54"/>
  <c r="R36" i="54"/>
  <c r="O36" i="54"/>
  <c r="N36" i="54"/>
  <c r="M36" i="54"/>
  <c r="J36" i="54"/>
  <c r="I36" i="54"/>
  <c r="H36" i="54"/>
  <c r="D14" i="54"/>
  <c r="D12" i="54"/>
  <c r="L6" i="17" s="1"/>
  <c r="D4" i="54"/>
  <c r="D3" i="54"/>
  <c r="BV39" i="53"/>
  <c r="BU39" i="53"/>
  <c r="BT39" i="53"/>
  <c r="BM36" i="53"/>
  <c r="BL36" i="53"/>
  <c r="BK36" i="53"/>
  <c r="BH36" i="53"/>
  <c r="BG36" i="53"/>
  <c r="BF36" i="53"/>
  <c r="BC36" i="53"/>
  <c r="BB36" i="53"/>
  <c r="BA36" i="53"/>
  <c r="AX36" i="53"/>
  <c r="AW36" i="53"/>
  <c r="AV36" i="53"/>
  <c r="AS36" i="53"/>
  <c r="AR36" i="53"/>
  <c r="AQ36" i="53"/>
  <c r="AN36" i="53"/>
  <c r="AM36" i="53"/>
  <c r="AL36" i="53"/>
  <c r="AI36" i="53"/>
  <c r="AH36" i="53"/>
  <c r="AG36" i="53"/>
  <c r="AD36" i="53"/>
  <c r="AC36" i="53"/>
  <c r="AB36" i="53"/>
  <c r="Y36" i="53"/>
  <c r="X36" i="53"/>
  <c r="W36" i="53"/>
  <c r="T36" i="53"/>
  <c r="S36" i="53"/>
  <c r="R36" i="53"/>
  <c r="O36" i="53"/>
  <c r="N36" i="53"/>
  <c r="M36" i="53"/>
  <c r="J36" i="53"/>
  <c r="I36" i="53"/>
  <c r="H36" i="53"/>
  <c r="D14" i="53"/>
  <c r="D13" i="53"/>
  <c r="M5" i="17" s="1"/>
  <c r="D12" i="53"/>
  <c r="L5" i="17" s="1"/>
  <c r="D4" i="53"/>
  <c r="D3" i="53"/>
  <c r="BV39" i="52"/>
  <c r="BU39" i="52"/>
  <c r="BT39" i="52"/>
  <c r="BM36" i="52"/>
  <c r="BL36" i="52"/>
  <c r="BK36" i="52"/>
  <c r="BH36" i="52"/>
  <c r="BG36" i="52"/>
  <c r="BF36" i="52"/>
  <c r="BC36" i="52"/>
  <c r="BB36" i="52"/>
  <c r="BA36" i="52"/>
  <c r="AX36" i="52"/>
  <c r="AW36" i="52"/>
  <c r="AV36" i="52"/>
  <c r="AS36" i="52"/>
  <c r="AR36" i="52"/>
  <c r="AQ36" i="52"/>
  <c r="AN36" i="52"/>
  <c r="AM36" i="52"/>
  <c r="AL36" i="52"/>
  <c r="AI36" i="52"/>
  <c r="AH36" i="52"/>
  <c r="AG36" i="52"/>
  <c r="AD36" i="52"/>
  <c r="AC36" i="52"/>
  <c r="AB36" i="52"/>
  <c r="Y36" i="52"/>
  <c r="X36" i="52"/>
  <c r="W36" i="52"/>
  <c r="T36" i="52"/>
  <c r="S36" i="52"/>
  <c r="R36" i="52"/>
  <c r="O36" i="52"/>
  <c r="N36" i="52"/>
  <c r="M36" i="52"/>
  <c r="J36" i="52"/>
  <c r="I36" i="52"/>
  <c r="H36" i="52"/>
  <c r="D14" i="52"/>
  <c r="D13" i="52"/>
  <c r="M4" i="17" s="1"/>
  <c r="D12" i="52"/>
  <c r="L4" i="17" s="1"/>
  <c r="D4" i="52"/>
  <c r="D3" i="52"/>
  <c r="D19" i="62" l="1"/>
  <c r="J14" i="17"/>
  <c r="D16" i="74"/>
  <c r="K26" i="17"/>
  <c r="D16" i="68"/>
  <c r="K20" i="17"/>
  <c r="D16" i="78"/>
  <c r="K30" i="17"/>
  <c r="D19" i="60"/>
  <c r="J12" i="17"/>
  <c r="D19" i="66"/>
  <c r="J18" i="17"/>
  <c r="D16" i="77"/>
  <c r="K29" i="17"/>
  <c r="D19" i="54"/>
  <c r="J6" i="17"/>
  <c r="D16" i="72"/>
  <c r="K24" i="17"/>
  <c r="D16" i="76"/>
  <c r="K28" i="17"/>
  <c r="D16" i="79"/>
  <c r="K31" i="17"/>
  <c r="D16" i="80"/>
  <c r="K32" i="17"/>
  <c r="D15" i="56"/>
  <c r="J8" i="17"/>
  <c r="D16" i="73"/>
  <c r="K25" i="17"/>
  <c r="D19" i="64"/>
  <c r="J16" i="17"/>
  <c r="D16" i="70"/>
  <c r="K22" i="17"/>
  <c r="D9" i="76"/>
  <c r="J28" i="17" s="1"/>
  <c r="D11" i="52"/>
  <c r="D17" i="52" s="1"/>
  <c r="D11" i="54"/>
  <c r="D17" i="54" s="1"/>
  <c r="D10" i="56"/>
  <c r="D10" i="61"/>
  <c r="D9" i="63"/>
  <c r="J15" i="17" s="1"/>
  <c r="D9" i="65"/>
  <c r="J17" i="17" s="1"/>
  <c r="D9" i="67"/>
  <c r="J19" i="17" s="1"/>
  <c r="D9" i="69"/>
  <c r="J21" i="17" s="1"/>
  <c r="D9" i="71"/>
  <c r="J23" i="17" s="1"/>
  <c r="D9" i="73"/>
  <c r="J25" i="17" s="1"/>
  <c r="D9" i="75"/>
  <c r="J27" i="17" s="1"/>
  <c r="D11" i="78"/>
  <c r="D17" i="78" s="1"/>
  <c r="K9" i="17"/>
  <c r="D11" i="56"/>
  <c r="D17" i="56" s="1"/>
  <c r="D10" i="58"/>
  <c r="D10" i="63"/>
  <c r="D10" i="65"/>
  <c r="D10" i="67"/>
  <c r="D9" i="77"/>
  <c r="J29" i="17" s="1"/>
  <c r="D11" i="80"/>
  <c r="D17" i="80" s="1"/>
  <c r="D16" i="71"/>
  <c r="D9" i="53"/>
  <c r="J5" i="17" s="1"/>
  <c r="D11" i="58"/>
  <c r="D17" i="58" s="1"/>
  <c r="D10" i="60"/>
  <c r="D9" i="79"/>
  <c r="J31" i="17" s="1"/>
  <c r="D16" i="69"/>
  <c r="D10" i="53"/>
  <c r="D9" i="55"/>
  <c r="J7" i="17" s="1"/>
  <c r="D11" i="60"/>
  <c r="D17" i="60" s="1"/>
  <c r="D11" i="53"/>
  <c r="D17" i="53" s="1"/>
  <c r="D10" i="55"/>
  <c r="D9" i="57"/>
  <c r="J9" i="17" s="1"/>
  <c r="D10" i="62"/>
  <c r="D10" i="66"/>
  <c r="D9" i="68"/>
  <c r="J20" i="17" s="1"/>
  <c r="D9" i="70"/>
  <c r="J22" i="17" s="1"/>
  <c r="D9" i="72"/>
  <c r="J24" i="17" s="1"/>
  <c r="D9" i="74"/>
  <c r="J26" i="17" s="1"/>
  <c r="J10" i="17"/>
  <c r="K21" i="17"/>
  <c r="D16" i="75"/>
  <c r="D9" i="52"/>
  <c r="J4" i="17" s="1"/>
  <c r="D10" i="59"/>
  <c r="D11" i="64"/>
  <c r="D17" i="64" s="1"/>
  <c r="D11" i="68"/>
  <c r="D17" i="68" s="1"/>
  <c r="D11" i="70"/>
  <c r="D17" i="70" s="1"/>
  <c r="D11" i="72"/>
  <c r="D17" i="72" s="1"/>
  <c r="D11" i="74"/>
  <c r="D17" i="74" s="1"/>
  <c r="D9" i="78"/>
  <c r="J30" i="17" s="1"/>
  <c r="K23" i="17"/>
  <c r="D10" i="52"/>
  <c r="D10" i="54"/>
  <c r="D9" i="61"/>
  <c r="J13" i="17" s="1"/>
  <c r="D11" i="76"/>
  <c r="D17" i="76" s="1"/>
  <c r="D9" i="80"/>
  <c r="J32" i="17" s="1"/>
  <c r="K16" i="17"/>
  <c r="D15" i="68"/>
  <c r="D19" i="68"/>
  <c r="D19" i="74"/>
  <c r="D19" i="79"/>
  <c r="D15" i="79"/>
  <c r="D19" i="77"/>
  <c r="D15" i="77"/>
  <c r="D19" i="71"/>
  <c r="D15" i="71"/>
  <c r="D15" i="72"/>
  <c r="D19" i="72"/>
  <c r="D17" i="73"/>
  <c r="D19" i="75"/>
  <c r="D15" i="75"/>
  <c r="D19" i="73"/>
  <c r="D15" i="73"/>
  <c r="D15" i="78"/>
  <c r="D19" i="78"/>
  <c r="D15" i="70"/>
  <c r="D15" i="61"/>
  <c r="D19" i="61"/>
  <c r="D19" i="67"/>
  <c r="D15" i="65"/>
  <c r="D19" i="65"/>
  <c r="D15" i="63"/>
  <c r="D19" i="63"/>
  <c r="D15" i="64"/>
  <c r="D15" i="66"/>
  <c r="D15" i="62"/>
  <c r="D15" i="60"/>
  <c r="D15" i="59"/>
  <c r="D19" i="59"/>
  <c r="D15" i="58"/>
  <c r="D19" i="56"/>
  <c r="D15" i="55"/>
  <c r="D19" i="55"/>
  <c r="D15" i="54"/>
  <c r="D15" i="53"/>
  <c r="D19" i="53"/>
  <c r="D15" i="52"/>
  <c r="D19" i="52"/>
  <c r="D2" i="22"/>
  <c r="D16" i="63" l="1"/>
  <c r="K15" i="17"/>
  <c r="D15" i="67"/>
  <c r="D16" i="55"/>
  <c r="K7" i="17"/>
  <c r="D16" i="58"/>
  <c r="K10" i="17"/>
  <c r="D16" i="60"/>
  <c r="K12" i="17"/>
  <c r="D15" i="69"/>
  <c r="D15" i="57"/>
  <c r="D19" i="76"/>
  <c r="D19" i="80"/>
  <c r="D19" i="69"/>
  <c r="D15" i="74"/>
  <c r="D16" i="52"/>
  <c r="K4" i="17"/>
  <c r="D16" i="59"/>
  <c r="K11" i="17"/>
  <c r="D16" i="53"/>
  <c r="K5" i="17"/>
  <c r="D16" i="56"/>
  <c r="K8" i="17"/>
  <c r="D15" i="80"/>
  <c r="D16" i="66"/>
  <c r="K18" i="17"/>
  <c r="D16" i="67"/>
  <c r="K19" i="17"/>
  <c r="D16" i="54"/>
  <c r="K6" i="17"/>
  <c r="D16" i="61"/>
  <c r="K13" i="17"/>
  <c r="D19" i="57"/>
  <c r="D15" i="76"/>
  <c r="D19" i="70"/>
  <c r="D16" i="62"/>
  <c r="K14" i="17"/>
  <c r="D16" i="65"/>
  <c r="K17" i="17"/>
  <c r="BM36" i="22"/>
  <c r="BL36" i="22"/>
  <c r="BK36" i="22"/>
  <c r="BH36" i="22"/>
  <c r="BG36" i="22"/>
  <c r="BF36" i="22"/>
  <c r="BC36" i="22"/>
  <c r="BB36" i="22"/>
  <c r="BA36" i="22"/>
  <c r="AX36" i="22"/>
  <c r="AW36" i="22"/>
  <c r="AV36" i="22"/>
  <c r="AS36" i="22"/>
  <c r="AR36" i="22"/>
  <c r="AQ36" i="22"/>
  <c r="AN36" i="22"/>
  <c r="AM36" i="22"/>
  <c r="AL36" i="22"/>
  <c r="AI36" i="22"/>
  <c r="AH36" i="22"/>
  <c r="AG36" i="22"/>
  <c r="AD36" i="22"/>
  <c r="AC36" i="22"/>
  <c r="AB36" i="22"/>
  <c r="D5" i="22" l="1"/>
  <c r="D8" i="22"/>
  <c r="D7" i="22"/>
  <c r="D6" i="22"/>
  <c r="D4" i="22"/>
  <c r="D3" i="22"/>
  <c r="AC4" i="17"/>
  <c r="O32" i="17"/>
  <c r="O31" i="17"/>
  <c r="O30" i="17"/>
  <c r="O29" i="17"/>
  <c r="O28" i="17"/>
  <c r="O27" i="17"/>
  <c r="O26" i="17"/>
  <c r="O25" i="17"/>
  <c r="O24" i="17"/>
  <c r="O23" i="17"/>
  <c r="O21" i="17"/>
  <c r="O20" i="17"/>
  <c r="O19" i="17"/>
  <c r="O18" i="17"/>
  <c r="O17" i="17"/>
  <c r="O16" i="17"/>
  <c r="O15" i="17"/>
  <c r="O14" i="17"/>
  <c r="O13" i="17"/>
  <c r="N30" i="17"/>
  <c r="N29" i="17"/>
  <c r="N27" i="17"/>
  <c r="N26" i="17"/>
  <c r="N24" i="17"/>
  <c r="N23" i="17"/>
  <c r="N21" i="17"/>
  <c r="N18" i="17"/>
  <c r="N17" i="17"/>
  <c r="N15" i="17"/>
  <c r="N14" i="17"/>
  <c r="I3" i="17"/>
  <c r="BV39" i="22"/>
  <c r="D14" i="22" s="1"/>
  <c r="BU39" i="22"/>
  <c r="D13" i="22" s="1"/>
  <c r="M3" i="17" s="1"/>
  <c r="BT39" i="22"/>
  <c r="D12" i="22" s="1"/>
  <c r="L3" i="17" s="1"/>
  <c r="X36" i="22"/>
  <c r="Y36" i="22"/>
  <c r="W36" i="22"/>
  <c r="T36" i="22"/>
  <c r="S36" i="22"/>
  <c r="R36" i="22"/>
  <c r="O36" i="22"/>
  <c r="N36" i="22"/>
  <c r="M36" i="22"/>
  <c r="J36" i="22"/>
  <c r="I36" i="22"/>
  <c r="H36" i="22"/>
  <c r="D10" i="22" l="1"/>
  <c r="K3" i="17" s="1"/>
  <c r="O3" i="17" s="1"/>
  <c r="D11" i="22"/>
  <c r="D17" i="22" s="1"/>
  <c r="D9" i="22"/>
  <c r="O8" i="17"/>
  <c r="O7" i="17"/>
  <c r="O4" i="17"/>
  <c r="N11" i="17"/>
  <c r="N9" i="17"/>
  <c r="N16" i="17"/>
  <c r="N28" i="17"/>
  <c r="N22" i="17"/>
  <c r="N10" i="17"/>
  <c r="O12" i="17"/>
  <c r="N6" i="17"/>
  <c r="N8" i="17"/>
  <c r="N4" i="17"/>
  <c r="N32" i="17"/>
  <c r="N20" i="17"/>
  <c r="N31" i="17"/>
  <c r="N25" i="17"/>
  <c r="N19" i="17"/>
  <c r="N13" i="17"/>
  <c r="N12" i="17"/>
  <c r="O10" i="17"/>
  <c r="N5" i="17"/>
  <c r="O9" i="17"/>
  <c r="N7" i="17"/>
  <c r="O5" i="17"/>
  <c r="O11" i="17"/>
  <c r="O6" i="17"/>
  <c r="D16" i="22" l="1"/>
  <c r="J3" i="17"/>
  <c r="N3" i="17" s="1"/>
  <c r="D19" i="22"/>
  <c r="D15" i="22"/>
  <c r="AO3" i="17"/>
  <c r="Q3" i="17"/>
  <c r="P17" i="21" l="1"/>
  <c r="V17" i="21" s="1"/>
  <c r="O17" i="21"/>
  <c r="U17" i="21" s="1"/>
  <c r="P16" i="21"/>
  <c r="V16" i="21" s="1"/>
  <c r="O16" i="21"/>
  <c r="U16" i="21" s="1"/>
  <c r="P15" i="21"/>
  <c r="V15" i="21" s="1"/>
  <c r="O15" i="21"/>
  <c r="U15" i="21" s="1"/>
  <c r="P14" i="21"/>
  <c r="V14" i="21" s="1"/>
  <c r="O14" i="21"/>
  <c r="U14" i="21" s="1"/>
  <c r="P13" i="21"/>
  <c r="V13" i="21" s="1"/>
  <c r="O13" i="21"/>
  <c r="U13" i="21" s="1"/>
  <c r="P12" i="21"/>
  <c r="V12" i="21" s="1"/>
  <c r="O12" i="21"/>
  <c r="U12" i="21" s="1"/>
  <c r="P11" i="21"/>
  <c r="V11" i="21" s="1"/>
  <c r="O11" i="21"/>
  <c r="U11" i="21" s="1"/>
  <c r="P10" i="21"/>
  <c r="V10" i="21" s="1"/>
  <c r="O10" i="21"/>
  <c r="U10" i="21" s="1"/>
  <c r="P9" i="21"/>
  <c r="V9" i="21" s="1"/>
  <c r="O9" i="21"/>
  <c r="U9" i="21" s="1"/>
  <c r="P8" i="21"/>
  <c r="V8" i="21" s="1"/>
  <c r="O8" i="21"/>
  <c r="U8" i="21" s="1"/>
  <c r="G8" i="17"/>
  <c r="P8" i="1" l="1"/>
  <c r="V8" i="1" s="1"/>
  <c r="P9" i="1"/>
  <c r="V9" i="1" s="1"/>
  <c r="P10" i="1"/>
  <c r="V10" i="1" s="1"/>
  <c r="P11" i="1"/>
  <c r="V11" i="1" s="1"/>
  <c r="P12" i="1"/>
  <c r="V12" i="1" s="1"/>
  <c r="P13" i="1"/>
  <c r="V13" i="1" s="1"/>
  <c r="P14" i="1"/>
  <c r="V14" i="1" s="1"/>
  <c r="P15" i="1"/>
  <c r="V15" i="1" s="1"/>
  <c r="P16" i="1"/>
  <c r="V16" i="1" s="1"/>
  <c r="P17" i="1"/>
  <c r="V17" i="1" s="1"/>
  <c r="P18" i="1"/>
  <c r="V18" i="1" s="1"/>
  <c r="P19" i="1"/>
  <c r="V19" i="1" s="1"/>
  <c r="P20" i="1"/>
  <c r="V20" i="1" s="1"/>
  <c r="P21" i="1"/>
  <c r="V21" i="1" s="1"/>
  <c r="P22" i="1"/>
  <c r="V22" i="1" s="1"/>
  <c r="P23" i="1"/>
  <c r="V23" i="1" s="1"/>
  <c r="P24" i="1"/>
  <c r="V24" i="1" s="1"/>
  <c r="P25" i="1"/>
  <c r="V25" i="1" s="1"/>
  <c r="P26" i="1"/>
  <c r="V26" i="1" s="1"/>
  <c r="P27" i="1"/>
  <c r="V27" i="1" s="1"/>
  <c r="P28" i="1"/>
  <c r="V28" i="1" s="1"/>
  <c r="P29" i="1"/>
  <c r="V29" i="1" s="1"/>
  <c r="P30" i="1"/>
  <c r="V30" i="1" s="1"/>
  <c r="P31" i="1"/>
  <c r="V31" i="1" s="1"/>
  <c r="P32" i="1"/>
  <c r="V32" i="1" s="1"/>
  <c r="P33" i="1"/>
  <c r="V33" i="1" s="1"/>
  <c r="P34" i="1"/>
  <c r="V34" i="1" s="1"/>
  <c r="P35" i="1"/>
  <c r="V35" i="1" s="1"/>
  <c r="P36" i="1"/>
  <c r="V36" i="1" s="1"/>
  <c r="P37" i="1"/>
  <c r="V37" i="1" s="1"/>
  <c r="O8" i="1"/>
  <c r="U8" i="1" s="1"/>
  <c r="O9" i="1"/>
  <c r="U9" i="1" s="1"/>
  <c r="O10" i="1"/>
  <c r="U10" i="1" s="1"/>
  <c r="O11" i="1"/>
  <c r="U11" i="1" s="1"/>
  <c r="O12" i="1"/>
  <c r="U12" i="1" s="1"/>
  <c r="O13" i="1"/>
  <c r="U13" i="1" s="1"/>
  <c r="O14" i="1"/>
  <c r="U14" i="1" s="1"/>
  <c r="O15" i="1"/>
  <c r="U15" i="1" s="1"/>
  <c r="O16" i="1"/>
  <c r="U16" i="1" s="1"/>
  <c r="O17" i="1"/>
  <c r="U17" i="1" s="1"/>
  <c r="O18" i="1"/>
  <c r="U18" i="1" s="1"/>
  <c r="O19" i="1"/>
  <c r="U19" i="1" s="1"/>
  <c r="O20" i="1"/>
  <c r="U20" i="1" s="1"/>
  <c r="O21" i="1"/>
  <c r="U21" i="1" s="1"/>
  <c r="O22" i="1"/>
  <c r="U22" i="1" s="1"/>
  <c r="O23" i="1"/>
  <c r="U23" i="1" s="1"/>
  <c r="O24" i="1"/>
  <c r="U24" i="1" s="1"/>
  <c r="O25" i="1"/>
  <c r="U25" i="1" s="1"/>
  <c r="O26" i="1"/>
  <c r="U26" i="1" s="1"/>
  <c r="O27" i="1"/>
  <c r="U27" i="1" s="1"/>
  <c r="O28" i="1"/>
  <c r="U28" i="1" s="1"/>
  <c r="O29" i="1"/>
  <c r="U29" i="1" s="1"/>
  <c r="O30" i="1"/>
  <c r="U30" i="1" s="1"/>
  <c r="O31" i="1"/>
  <c r="U31" i="1" s="1"/>
  <c r="O32" i="1"/>
  <c r="U32" i="1" s="1"/>
  <c r="O33" i="1"/>
  <c r="U33" i="1" s="1"/>
  <c r="O34" i="1"/>
  <c r="U34" i="1" s="1"/>
  <c r="O35" i="1"/>
  <c r="U35" i="1" s="1"/>
  <c r="O36" i="1"/>
  <c r="U36" i="1" s="1"/>
  <c r="O37" i="1"/>
  <c r="U37" i="1" s="1"/>
  <c r="AO4" i="17"/>
  <c r="AO5" i="17"/>
  <c r="AO6" i="17"/>
  <c r="AO7" i="17"/>
  <c r="AO8" i="17"/>
  <c r="AO9" i="17"/>
  <c r="AO10" i="17"/>
  <c r="AO11" i="17"/>
  <c r="AO12" i="17"/>
  <c r="AO13" i="17"/>
  <c r="N18" i="1" s="1"/>
  <c r="T18" i="1" s="1"/>
  <c r="AO14" i="17"/>
  <c r="N19" i="1" s="1"/>
  <c r="T19" i="1" s="1"/>
  <c r="AO15" i="17"/>
  <c r="N20" i="1" s="1"/>
  <c r="T20" i="1" s="1"/>
  <c r="AO16" i="17"/>
  <c r="N21" i="1" s="1"/>
  <c r="T21" i="1" s="1"/>
  <c r="AO17" i="17"/>
  <c r="N22" i="1" s="1"/>
  <c r="T22" i="1" s="1"/>
  <c r="AO18" i="17"/>
  <c r="N23" i="1" s="1"/>
  <c r="T23" i="1" s="1"/>
  <c r="AO19" i="17"/>
  <c r="N24" i="1" s="1"/>
  <c r="T24" i="1" s="1"/>
  <c r="AO20" i="17"/>
  <c r="N25" i="1" s="1"/>
  <c r="T25" i="1" s="1"/>
  <c r="AO21" i="17"/>
  <c r="N26" i="1" s="1"/>
  <c r="T26" i="1" s="1"/>
  <c r="AO22" i="17"/>
  <c r="N27" i="1" s="1"/>
  <c r="T27" i="1" s="1"/>
  <c r="AO23" i="17"/>
  <c r="N28" i="1" s="1"/>
  <c r="T28" i="1" s="1"/>
  <c r="AO24" i="17"/>
  <c r="N29" i="1" s="1"/>
  <c r="T29" i="1" s="1"/>
  <c r="AO25" i="17"/>
  <c r="N30" i="1" s="1"/>
  <c r="T30" i="1" s="1"/>
  <c r="AO26" i="17"/>
  <c r="N31" i="1" s="1"/>
  <c r="T31" i="1" s="1"/>
  <c r="AO27" i="17"/>
  <c r="N32" i="1" s="1"/>
  <c r="T32" i="1" s="1"/>
  <c r="AO28" i="17"/>
  <c r="N33" i="1" s="1"/>
  <c r="T33" i="1" s="1"/>
  <c r="AO29" i="17"/>
  <c r="N34" i="1" s="1"/>
  <c r="T34" i="1" s="1"/>
  <c r="AO30" i="17"/>
  <c r="N35" i="1" s="1"/>
  <c r="T35" i="1" s="1"/>
  <c r="AO31" i="17"/>
  <c r="N36" i="1" s="1"/>
  <c r="T36" i="1" s="1"/>
  <c r="AO32" i="17"/>
  <c r="N37" i="1" s="1"/>
  <c r="T37" i="1" s="1"/>
  <c r="AC5" i="17"/>
  <c r="AC6" i="17"/>
  <c r="AC7" i="17"/>
  <c r="AC8" i="17"/>
  <c r="AC9" i="17"/>
  <c r="AC10" i="17"/>
  <c r="AC11" i="17"/>
  <c r="AC12" i="17"/>
  <c r="AC13" i="17"/>
  <c r="M18" i="1" s="1"/>
  <c r="S18" i="1" s="1"/>
  <c r="AC14" i="17"/>
  <c r="M19" i="1" s="1"/>
  <c r="S19" i="1" s="1"/>
  <c r="AC15" i="17"/>
  <c r="M20" i="1" s="1"/>
  <c r="S20" i="1" s="1"/>
  <c r="AC16" i="17"/>
  <c r="M21" i="1" s="1"/>
  <c r="S21" i="1" s="1"/>
  <c r="AC17" i="17"/>
  <c r="M22" i="1" s="1"/>
  <c r="S22" i="1" s="1"/>
  <c r="AC18" i="17"/>
  <c r="M23" i="1" s="1"/>
  <c r="S23" i="1" s="1"/>
  <c r="AC19" i="17"/>
  <c r="M24" i="1" s="1"/>
  <c r="S24" i="1" s="1"/>
  <c r="AC20" i="17"/>
  <c r="M25" i="1" s="1"/>
  <c r="S25" i="1" s="1"/>
  <c r="AC21" i="17"/>
  <c r="M26" i="1" s="1"/>
  <c r="S26" i="1" s="1"/>
  <c r="AC22" i="17"/>
  <c r="M27" i="1" s="1"/>
  <c r="S27" i="1" s="1"/>
  <c r="AC23" i="17"/>
  <c r="M28" i="1" s="1"/>
  <c r="S28" i="1" s="1"/>
  <c r="AC24" i="17"/>
  <c r="M29" i="1" s="1"/>
  <c r="S29" i="1" s="1"/>
  <c r="AC25" i="17"/>
  <c r="M30" i="1" s="1"/>
  <c r="S30" i="1" s="1"/>
  <c r="AC26" i="17"/>
  <c r="M31" i="1" s="1"/>
  <c r="S31" i="1" s="1"/>
  <c r="AC27" i="17"/>
  <c r="M32" i="1" s="1"/>
  <c r="S32" i="1" s="1"/>
  <c r="AC28" i="17"/>
  <c r="M33" i="1" s="1"/>
  <c r="S33" i="1" s="1"/>
  <c r="AC29" i="17"/>
  <c r="M34" i="1" s="1"/>
  <c r="S34" i="1" s="1"/>
  <c r="AC30" i="17"/>
  <c r="M35" i="1" s="1"/>
  <c r="S35" i="1" s="1"/>
  <c r="AC31" i="17"/>
  <c r="M36" i="1" s="1"/>
  <c r="S36" i="1" s="1"/>
  <c r="AC32" i="17"/>
  <c r="M37" i="1" s="1"/>
  <c r="S37" i="1" s="1"/>
  <c r="AC3" i="17"/>
  <c r="Q4" i="17"/>
  <c r="Q5" i="17"/>
  <c r="Q6" i="17"/>
  <c r="Q7" i="17"/>
  <c r="Q8" i="17"/>
  <c r="Q9" i="17"/>
  <c r="Q10" i="17"/>
  <c r="Q11" i="17"/>
  <c r="Q12" i="17"/>
  <c r="Q13" i="17"/>
  <c r="L18" i="1" s="1"/>
  <c r="R18" i="1" s="1"/>
  <c r="Q14" i="17"/>
  <c r="L19" i="1" s="1"/>
  <c r="R19" i="1" s="1"/>
  <c r="Q15" i="17"/>
  <c r="L20" i="1" s="1"/>
  <c r="R20" i="1" s="1"/>
  <c r="Q16" i="17"/>
  <c r="L21" i="1" s="1"/>
  <c r="R21" i="1" s="1"/>
  <c r="Q17" i="17"/>
  <c r="L22" i="1" s="1"/>
  <c r="R22" i="1" s="1"/>
  <c r="Q18" i="17"/>
  <c r="L23" i="1" s="1"/>
  <c r="R23" i="1" s="1"/>
  <c r="Q19" i="17"/>
  <c r="L24" i="1" s="1"/>
  <c r="R24" i="1" s="1"/>
  <c r="Q20" i="17"/>
  <c r="L25" i="1" s="1"/>
  <c r="R25" i="1" s="1"/>
  <c r="Q21" i="17"/>
  <c r="L26" i="1" s="1"/>
  <c r="R26" i="1" s="1"/>
  <c r="Q22" i="17"/>
  <c r="L27" i="1" s="1"/>
  <c r="R27" i="1" s="1"/>
  <c r="Q23" i="17"/>
  <c r="L28" i="1" s="1"/>
  <c r="R28" i="1" s="1"/>
  <c r="Q24" i="17"/>
  <c r="L29" i="1" s="1"/>
  <c r="R29" i="1" s="1"/>
  <c r="Q25" i="17"/>
  <c r="L30" i="1" s="1"/>
  <c r="R30" i="1" s="1"/>
  <c r="Q26" i="17"/>
  <c r="L31" i="1" s="1"/>
  <c r="R31" i="1" s="1"/>
  <c r="Q27" i="17"/>
  <c r="L32" i="1" s="1"/>
  <c r="R32" i="1" s="1"/>
  <c r="Q28" i="17"/>
  <c r="L33" i="1" s="1"/>
  <c r="R33" i="1" s="1"/>
  <c r="Q29" i="17"/>
  <c r="L34" i="1" s="1"/>
  <c r="R34" i="1" s="1"/>
  <c r="Q30" i="17"/>
  <c r="L35" i="1" s="1"/>
  <c r="R35" i="1" s="1"/>
  <c r="Q31" i="17"/>
  <c r="L36" i="1" s="1"/>
  <c r="R36" i="1" s="1"/>
  <c r="Q32" i="17"/>
  <c r="L37" i="1" s="1"/>
  <c r="R37" i="1" s="1"/>
  <c r="K14" i="21"/>
  <c r="Q14" i="2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I4" i="17"/>
  <c r="P4" i="17" s="1"/>
  <c r="I5" i="17"/>
  <c r="P5" i="17" s="1"/>
  <c r="I6" i="17"/>
  <c r="P6" i="17" s="1"/>
  <c r="I7" i="17"/>
  <c r="P7" i="17" s="1"/>
  <c r="I8" i="17"/>
  <c r="P8" i="17" s="1"/>
  <c r="I9" i="17"/>
  <c r="P9" i="17" s="1"/>
  <c r="I10" i="17"/>
  <c r="P10" i="17" s="1"/>
  <c r="I11" i="17"/>
  <c r="P11" i="17" s="1"/>
  <c r="I12" i="17"/>
  <c r="P12" i="17" s="1"/>
  <c r="I13" i="17"/>
  <c r="P13" i="17" s="1"/>
  <c r="I14" i="17"/>
  <c r="P14" i="17" s="1"/>
  <c r="I15" i="17"/>
  <c r="P15" i="17" s="1"/>
  <c r="I16" i="17"/>
  <c r="P16" i="17" s="1"/>
  <c r="I17" i="17"/>
  <c r="P17" i="17" s="1"/>
  <c r="I18" i="17"/>
  <c r="P18" i="17" s="1"/>
  <c r="I19" i="17"/>
  <c r="P19" i="17" s="1"/>
  <c r="I20" i="17"/>
  <c r="P20" i="17" s="1"/>
  <c r="I21" i="17"/>
  <c r="P21" i="17" s="1"/>
  <c r="I22" i="17"/>
  <c r="P22" i="17" s="1"/>
  <c r="I23" i="17"/>
  <c r="P23" i="17" s="1"/>
  <c r="I24" i="17"/>
  <c r="P24" i="17" s="1"/>
  <c r="I25" i="17"/>
  <c r="P25" i="17" s="1"/>
  <c r="I26" i="17"/>
  <c r="P26" i="17" s="1"/>
  <c r="I27" i="17"/>
  <c r="P27" i="17" s="1"/>
  <c r="I28" i="17"/>
  <c r="P28" i="17" s="1"/>
  <c r="I29" i="17"/>
  <c r="P29" i="17" s="1"/>
  <c r="I30" i="17"/>
  <c r="P30" i="17" s="1"/>
  <c r="I31" i="17"/>
  <c r="P31" i="17" s="1"/>
  <c r="I32" i="17"/>
  <c r="P32" i="17" s="1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" i="17"/>
  <c r="G4" i="17"/>
  <c r="G5" i="17"/>
  <c r="G6" i="17"/>
  <c r="G7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" i="17"/>
  <c r="L15" i="1" l="1"/>
  <c r="R15" i="1" s="1"/>
  <c r="L15" i="21"/>
  <c r="R15" i="21" s="1"/>
  <c r="M13" i="1"/>
  <c r="S13" i="1" s="1"/>
  <c r="M13" i="21"/>
  <c r="S13" i="21" s="1"/>
  <c r="K16" i="1"/>
  <c r="Q16" i="1" s="1"/>
  <c r="K16" i="21"/>
  <c r="Q16" i="21" s="1"/>
  <c r="K15" i="1"/>
  <c r="Q15" i="1" s="1"/>
  <c r="K15" i="21"/>
  <c r="Q15" i="21" s="1"/>
  <c r="L13" i="1"/>
  <c r="R13" i="1" s="1"/>
  <c r="L13" i="21"/>
  <c r="R13" i="21" s="1"/>
  <c r="M11" i="1"/>
  <c r="S11" i="1" s="1"/>
  <c r="M11" i="21"/>
  <c r="S11" i="21" s="1"/>
  <c r="N17" i="1"/>
  <c r="T17" i="1" s="1"/>
  <c r="N17" i="21"/>
  <c r="T17" i="21" s="1"/>
  <c r="N9" i="1"/>
  <c r="T9" i="1" s="1"/>
  <c r="N9" i="21"/>
  <c r="T9" i="21" s="1"/>
  <c r="M14" i="1"/>
  <c r="S14" i="1" s="1"/>
  <c r="M14" i="21"/>
  <c r="S14" i="21" s="1"/>
  <c r="M12" i="1"/>
  <c r="S12" i="1" s="1"/>
  <c r="M12" i="21"/>
  <c r="S12" i="21" s="1"/>
  <c r="N10" i="1"/>
  <c r="T10" i="1" s="1"/>
  <c r="N10" i="21"/>
  <c r="T10" i="21" s="1"/>
  <c r="L12" i="1"/>
  <c r="R12" i="1" s="1"/>
  <c r="L12" i="21"/>
  <c r="R12" i="21" s="1"/>
  <c r="M10" i="1"/>
  <c r="S10" i="1" s="1"/>
  <c r="M10" i="21"/>
  <c r="S10" i="21" s="1"/>
  <c r="N16" i="1"/>
  <c r="T16" i="1" s="1"/>
  <c r="N16" i="21"/>
  <c r="T16" i="21" s="1"/>
  <c r="L16" i="1"/>
  <c r="R16" i="1" s="1"/>
  <c r="L16" i="21"/>
  <c r="R16" i="21" s="1"/>
  <c r="N11" i="1"/>
  <c r="T11" i="1" s="1"/>
  <c r="N11" i="21"/>
  <c r="T11" i="21" s="1"/>
  <c r="L8" i="1"/>
  <c r="R8" i="1" s="1"/>
  <c r="L8" i="21"/>
  <c r="R8" i="21" s="1"/>
  <c r="L14" i="1"/>
  <c r="R14" i="1" s="1"/>
  <c r="L14" i="21"/>
  <c r="R14" i="21" s="1"/>
  <c r="K13" i="1"/>
  <c r="Q13" i="1" s="1"/>
  <c r="K13" i="21"/>
  <c r="Q13" i="21" s="1"/>
  <c r="L11" i="1"/>
  <c r="R11" i="1" s="1"/>
  <c r="L11" i="21"/>
  <c r="R11" i="21" s="1"/>
  <c r="M17" i="1"/>
  <c r="S17" i="1" s="1"/>
  <c r="M17" i="21"/>
  <c r="S17" i="21" s="1"/>
  <c r="M9" i="1"/>
  <c r="S9" i="1" s="1"/>
  <c r="M9" i="21"/>
  <c r="S9" i="21" s="1"/>
  <c r="N15" i="1"/>
  <c r="T15" i="1" s="1"/>
  <c r="N15" i="21"/>
  <c r="T15" i="21" s="1"/>
  <c r="M8" i="1"/>
  <c r="S8" i="1" s="1"/>
  <c r="M8" i="21"/>
  <c r="S8" i="21" s="1"/>
  <c r="K12" i="1"/>
  <c r="Q12" i="1" s="1"/>
  <c r="K12" i="21"/>
  <c r="Q12" i="21" s="1"/>
  <c r="L10" i="1"/>
  <c r="R10" i="1" s="1"/>
  <c r="L10" i="21"/>
  <c r="R10" i="21" s="1"/>
  <c r="M16" i="1"/>
  <c r="S16" i="1" s="1"/>
  <c r="M16" i="21"/>
  <c r="S16" i="21" s="1"/>
  <c r="N8" i="1"/>
  <c r="T8" i="1" s="1"/>
  <c r="N8" i="21"/>
  <c r="T8" i="21" s="1"/>
  <c r="N14" i="1"/>
  <c r="T14" i="1" s="1"/>
  <c r="N14" i="21"/>
  <c r="T14" i="21" s="1"/>
  <c r="N12" i="1"/>
  <c r="T12" i="1" s="1"/>
  <c r="N12" i="21"/>
  <c r="T12" i="21" s="1"/>
  <c r="K17" i="1"/>
  <c r="Q17" i="1" s="1"/>
  <c r="K17" i="21"/>
  <c r="Q17" i="21" s="1"/>
  <c r="L17" i="1"/>
  <c r="R17" i="1" s="1"/>
  <c r="L17" i="21"/>
  <c r="R17" i="21" s="1"/>
  <c r="L9" i="1"/>
  <c r="R9" i="1" s="1"/>
  <c r="L9" i="21"/>
  <c r="R9" i="21" s="1"/>
  <c r="M15" i="1"/>
  <c r="S15" i="1" s="1"/>
  <c r="M15" i="21"/>
  <c r="S15" i="21" s="1"/>
  <c r="N13" i="1"/>
  <c r="T13" i="1" s="1"/>
  <c r="N13" i="21"/>
  <c r="T13" i="21" s="1"/>
  <c r="K11" i="1"/>
  <c r="Q11" i="1" s="1"/>
  <c r="K11" i="21"/>
  <c r="Q11" i="21" s="1"/>
  <c r="K10" i="1"/>
  <c r="Q10" i="1" s="1"/>
  <c r="K10" i="21"/>
  <c r="Q10" i="21" s="1"/>
  <c r="K9" i="1"/>
  <c r="Q9" i="1" s="1"/>
  <c r="K9" i="21"/>
  <c r="Q9" i="21" s="1"/>
  <c r="K14" i="1"/>
  <c r="Q14" i="1" s="1"/>
  <c r="E27" i="14"/>
  <c r="L20" i="14"/>
  <c r="L19" i="14"/>
  <c r="L18" i="14"/>
  <c r="L17" i="14"/>
  <c r="N12" i="14"/>
  <c r="L27" i="14" s="1"/>
  <c r="J11" i="14"/>
  <c r="K11" i="14" s="1"/>
  <c r="O11" i="14" s="1"/>
  <c r="K10" i="14"/>
  <c r="O10" i="14" s="1"/>
  <c r="S9" i="14"/>
  <c r="K9" i="14"/>
  <c r="O9" i="14" s="1"/>
  <c r="O4" i="14"/>
  <c r="O12" i="14" l="1"/>
  <c r="J16" i="14" s="1"/>
  <c r="M19" i="14" s="1"/>
  <c r="M18" i="14" l="1"/>
  <c r="L16" i="14"/>
  <c r="L21" i="14" s="1"/>
  <c r="L24" i="14" s="1"/>
  <c r="M20" i="14"/>
  <c r="M16" i="14"/>
  <c r="M17" i="14"/>
  <c r="L26" i="14"/>
  <c r="N2" i="14"/>
  <c r="M21" i="14"/>
  <c r="K8" i="1"/>
  <c r="Q8" i="1" s="1"/>
  <c r="K8" i="21"/>
  <c r="Q8" i="21" s="1"/>
  <c r="P3" i="17"/>
</calcChain>
</file>

<file path=xl/sharedStrings.xml><?xml version="1.0" encoding="utf-8"?>
<sst xmlns="http://schemas.openxmlformats.org/spreadsheetml/2006/main" count="2794" uniqueCount="140">
  <si>
    <t>RENK KODU</t>
  </si>
  <si>
    <t>RENK</t>
  </si>
  <si>
    <t>KULLANILACAK RENK BİLGİLERİ</t>
  </si>
  <si>
    <t>ÜRÜN GÖRSELLERİ</t>
  </si>
  <si>
    <t>ÜRÜN</t>
  </si>
  <si>
    <t>EBAT</t>
  </si>
  <si>
    <t>NOTLAR</t>
  </si>
  <si>
    <t>TOPLAM</t>
  </si>
  <si>
    <t>ORAN</t>
  </si>
  <si>
    <t>ADET</t>
  </si>
  <si>
    <t>YÜKLEME</t>
  </si>
  <si>
    <t>DOKUMA</t>
  </si>
  <si>
    <t>DURUM</t>
  </si>
  <si>
    <t>YIKAMA SEVK</t>
  </si>
  <si>
    <t>YIKAMA GELEN</t>
  </si>
  <si>
    <t>SİPARİŞ HAKKINDA</t>
  </si>
  <si>
    <t>DOKUMA HAKKINDA</t>
  </si>
  <si>
    <t>KESİM HAKKINDA</t>
  </si>
  <si>
    <t>KALİTE HAKKINDA</t>
  </si>
  <si>
    <t>YÜKLEME HAKKINDA</t>
  </si>
  <si>
    <t>A - GENEL BİLGİLER</t>
  </si>
  <si>
    <t>SIRA NO</t>
  </si>
  <si>
    <t>SEZON / GRUP</t>
  </si>
  <si>
    <t>TAHA BEY / ALMANYA</t>
  </si>
  <si>
    <t>DESEN</t>
  </si>
  <si>
    <t>135*200</t>
  </si>
  <si>
    <t>NEVRESİM TAKIMI</t>
  </si>
  <si>
    <t>B - KUMAŞ</t>
  </si>
  <si>
    <t>PARÇA #</t>
  </si>
  <si>
    <t>PARÇA ADI</t>
  </si>
  <si>
    <t>BASKI TİPİ</t>
  </si>
  <si>
    <t>DESEN YÖNÜ</t>
  </si>
  <si>
    <t>HAMBEZ
KODU</t>
  </si>
  <si>
    <t>HAMBEZ
FİYATI</t>
  </si>
  <si>
    <t>NAKLİYE</t>
  </si>
  <si>
    <t>BASKI
FİYATI</t>
  </si>
  <si>
    <t>MAMÜL EBAT</t>
  </si>
  <si>
    <t>KESİM EBAT</t>
  </si>
  <si>
    <t>METRAJ</t>
  </si>
  <si>
    <t>TUTAR</t>
  </si>
  <si>
    <t>PARÇA 1</t>
  </si>
  <si>
    <t>N. ÖN</t>
  </si>
  <si>
    <t>OF</t>
  </si>
  <si>
    <t>ALL OVER</t>
  </si>
  <si>
    <t>250 / MUSLİN</t>
  </si>
  <si>
    <t>135X200</t>
  </si>
  <si>
    <t>137x212</t>
  </si>
  <si>
    <t>PARÇA 2</t>
  </si>
  <si>
    <t>N. ARKA</t>
  </si>
  <si>
    <t>135x200</t>
  </si>
  <si>
    <t>PARÇA 3</t>
  </si>
  <si>
    <t>DÜZ YASTIK</t>
  </si>
  <si>
    <t>251 / MUSLİN</t>
  </si>
  <si>
    <t>80x80</t>
  </si>
  <si>
    <t>83x190</t>
  </si>
  <si>
    <t>C - KONFEKSİYON, AKSESUAR ve NAKLİYE</t>
  </si>
  <si>
    <t>D - MALİYET KALEMLERİ ÖZETİ ve SATIŞ FİYATI</t>
  </si>
  <si>
    <t>ÜRÜN CİNSİ</t>
  </si>
  <si>
    <t>FİYAT</t>
  </si>
  <si>
    <t>MALİYET KALEMİ</t>
  </si>
  <si>
    <t>FİRE</t>
  </si>
  <si>
    <t>MALİYET</t>
  </si>
  <si>
    <t>KONFEKSİYON</t>
  </si>
  <si>
    <t>HAMBEZ</t>
  </si>
  <si>
    <t>BASKI / BOYA</t>
  </si>
  <si>
    <t>AKSESUAR</t>
  </si>
  <si>
    <t>HAMBEZ / KUMAŞ NAKLİYE</t>
  </si>
  <si>
    <t>ETİKET</t>
  </si>
  <si>
    <t>PP-POŞET</t>
  </si>
  <si>
    <t>KAR MARJI</t>
  </si>
  <si>
    <t>KOLİ BARKODU</t>
  </si>
  <si>
    <t>SATIŞ FİYATI</t>
  </si>
  <si>
    <t>KOLİ</t>
  </si>
  <si>
    <t>KOLİ BANDI</t>
  </si>
  <si>
    <t>TOPLAM İHTİYAÇ METRE</t>
  </si>
  <si>
    <t>MÜŞTERİ</t>
  </si>
  <si>
    <t>SİPARİŞ FORMU</t>
  </si>
  <si>
    <t>SİPARİŞ TARİHİ</t>
  </si>
  <si>
    <t>TERMİN TARİHİ</t>
  </si>
  <si>
    <t>SİPARİŞ NO</t>
  </si>
  <si>
    <t>ÜRÜN KOD</t>
  </si>
  <si>
    <t>ÜRÜN ADI</t>
  </si>
  <si>
    <t>ADET/MT</t>
  </si>
  <si>
    <t>SİPARİŞ BİLGİLERİ</t>
  </si>
  <si>
    <t>KESİM</t>
  </si>
  <si>
    <t>YIKAMA GİDEN</t>
  </si>
  <si>
    <t>KALİTE 1-2</t>
  </si>
  <si>
    <t>2. KALİTE</t>
  </si>
  <si>
    <t>1. KALİTE</t>
  </si>
  <si>
    <t>DOK.</t>
  </si>
  <si>
    <t>Y.SEVK</t>
  </si>
  <si>
    <t>1.K</t>
  </si>
  <si>
    <t>2.K</t>
  </si>
  <si>
    <t>YÜK</t>
  </si>
  <si>
    <t>ÜRETİM ÖZET</t>
  </si>
  <si>
    <t>ÜRETİM ORANI</t>
  </si>
  <si>
    <t>ÜRETİM DETAYLARI</t>
  </si>
  <si>
    <t>TARAK NO</t>
  </si>
  <si>
    <t>TARAK ENİ</t>
  </si>
  <si>
    <t>ÇÖZGÜ SIKLIĞI</t>
  </si>
  <si>
    <t>ÇÖZGÜ İPİ</t>
  </si>
  <si>
    <t xml:space="preserve">ATKI SIKLIĞI </t>
  </si>
  <si>
    <t>ATKI İPİ</t>
  </si>
  <si>
    <t>KUMAŞ SİPARİŞ FORMU</t>
  </si>
  <si>
    <t>KUMAŞ ENİ</t>
  </si>
  <si>
    <t>Ürün Adı:</t>
  </si>
  <si>
    <t>Sipariş No:</t>
  </si>
  <si>
    <t>Müşteri:</t>
  </si>
  <si>
    <t>Renk:</t>
  </si>
  <si>
    <t>Kumaş Eni:</t>
  </si>
  <si>
    <t>Sipariş Mt/Ad:</t>
  </si>
  <si>
    <t>Tarih</t>
  </si>
  <si>
    <t>Metre</t>
  </si>
  <si>
    <t>Kg/Ad</t>
  </si>
  <si>
    <t>Top Sayısı</t>
  </si>
  <si>
    <t>Üretilen Metre</t>
  </si>
  <si>
    <t>Üretilen Kg/Ad</t>
  </si>
  <si>
    <t>Üretilen Top Sayısı</t>
  </si>
  <si>
    <t>Toplam</t>
  </si>
  <si>
    <t>Sevk Metre</t>
  </si>
  <si>
    <t>Sevk Kg/Ad</t>
  </si>
  <si>
    <t>Sevk Top Sayısı</t>
  </si>
  <si>
    <t>ÜRETİM VERİLERİ</t>
  </si>
  <si>
    <t>Stok Metre</t>
  </si>
  <si>
    <t>Stok Kg/Ad</t>
  </si>
  <si>
    <t>Stok Top Sayısı</t>
  </si>
  <si>
    <t>SEVK VERİLERİ</t>
  </si>
  <si>
    <t>Açıklama</t>
  </si>
  <si>
    <t>Sevk yeri</t>
  </si>
  <si>
    <t>Sevk Ad/Kg</t>
  </si>
  <si>
    <t>Çeki Listesi</t>
  </si>
  <si>
    <t>Üretim Durumu</t>
  </si>
  <si>
    <t>Sevk Mt</t>
  </si>
  <si>
    <t>DOKUMA VERİLERİ</t>
  </si>
  <si>
    <t>Dokuma Stok Metre</t>
  </si>
  <si>
    <t>Dokuma Stok Ad/Kg</t>
  </si>
  <si>
    <t>SİPARİŞ</t>
  </si>
  <si>
    <t>Toplam Dokunan Mt</t>
  </si>
  <si>
    <t>Toplam Dokunan Ad/Kg</t>
  </si>
  <si>
    <t>Ürün Kodu: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</si>
</sst>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0.00\ [$USD]"/>
    <numFmt numFmtId="166" formatCode="dd/mm/yyyy;@"/>
    <numFmt numFmtId="167" formatCode="#,##0.000\ &quot;TL&quot;"/>
    <numFmt numFmtId="168" formatCode="#,##0.00\ [$mt]"/>
    <numFmt numFmtId="169" formatCode="#,##0.0000\ &quot;₺&quot;"/>
    <numFmt numFmtId="170" formatCode="#,##0\ [$ad]"/>
    <numFmt numFmtId="171" formatCode="#,##0\ [$mt]"/>
    <numFmt numFmtId="172" formatCode="[$-41F]d\ mmmm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sz val="10"/>
      <name val="Arial Tur"/>
      <charset val="162"/>
    </font>
    <font>
      <sz val="10"/>
      <name val="Trebuchet MS"/>
      <family val="2"/>
      <charset val="162"/>
    </font>
    <font>
      <b/>
      <sz val="18"/>
      <name val="Trebuchet MS"/>
      <family val="2"/>
      <charset val="162"/>
    </font>
    <font>
      <i/>
      <u/>
      <sz val="24"/>
      <color rgb="FFFF0000"/>
      <name val="Trebuchet MS"/>
      <family val="2"/>
      <charset val="162"/>
    </font>
    <font>
      <b/>
      <sz val="14"/>
      <name val="Trebuchet MS"/>
      <family val="2"/>
      <charset val="162"/>
    </font>
    <font>
      <sz val="12"/>
      <name val="Trebuchet MS"/>
      <family val="2"/>
      <charset val="162"/>
    </font>
    <font>
      <sz val="12"/>
      <color theme="1"/>
      <name val="Trebuchet MS"/>
      <family val="2"/>
      <charset val="162"/>
    </font>
    <font>
      <b/>
      <sz val="12"/>
      <color theme="1"/>
      <name val="Trebuchet MS"/>
      <family val="2"/>
      <charset val="162"/>
    </font>
    <font>
      <sz val="10"/>
      <color theme="0"/>
      <name val="Trebuchet MS"/>
      <family val="2"/>
      <charset val="162"/>
    </font>
    <font>
      <i/>
      <sz val="14"/>
      <color rgb="FFFF0000"/>
      <name val="Trebuchet MS"/>
      <family val="2"/>
      <charset val="162"/>
    </font>
    <font>
      <sz val="10"/>
      <color theme="1"/>
      <name val="Cambria"/>
      <family val="1"/>
      <charset val="16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b/>
      <sz val="24"/>
      <color theme="0" tint="-0.34998626667073579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i/>
      <u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25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6" fillId="2" borderId="0" xfId="0" applyFont="1" applyFill="1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166" fontId="13" fillId="5" borderId="12" xfId="2" applyNumberFormat="1" applyFont="1" applyFill="1" applyBorder="1" applyAlignment="1">
      <alignment horizontal="right" vertical="center" indent="1"/>
    </xf>
    <xf numFmtId="0" fontId="14" fillId="6" borderId="15" xfId="2" applyFont="1" applyFill="1" applyBorder="1" applyAlignment="1">
      <alignment horizontal="left" vertical="center" indent="1"/>
    </xf>
    <xf numFmtId="0" fontId="15" fillId="0" borderId="15" xfId="2" applyFont="1" applyBorder="1" applyAlignment="1" applyProtection="1">
      <alignment horizontal="left" vertical="center" indent="1"/>
      <protection locked="0"/>
    </xf>
    <xf numFmtId="0" fontId="14" fillId="0" borderId="15" xfId="2" applyFont="1" applyBorder="1" applyAlignment="1">
      <alignment horizontal="left" vertical="center" indent="1"/>
    </xf>
    <xf numFmtId="0" fontId="14" fillId="6" borderId="15" xfId="2" applyFont="1" applyFill="1" applyBorder="1" applyAlignment="1">
      <alignment horizontal="right" vertical="center" wrapText="1" indent="1"/>
    </xf>
    <xf numFmtId="0" fontId="14" fillId="6" borderId="15" xfId="2" applyFont="1" applyFill="1" applyBorder="1" applyAlignment="1">
      <alignment horizontal="right" vertical="center" indent="1"/>
    </xf>
    <xf numFmtId="0" fontId="14" fillId="6" borderId="15" xfId="2" applyFont="1" applyFill="1" applyBorder="1" applyAlignment="1">
      <alignment horizontal="center" vertical="center"/>
    </xf>
    <xf numFmtId="4" fontId="14" fillId="6" borderId="15" xfId="2" applyNumberFormat="1" applyFont="1" applyFill="1" applyBorder="1" applyAlignment="1">
      <alignment horizontal="center" vertical="center"/>
    </xf>
    <xf numFmtId="0" fontId="14" fillId="0" borderId="15" xfId="2" applyFont="1" applyBorder="1" applyAlignment="1">
      <alignment horizontal="right" vertical="center" indent="1"/>
    </xf>
    <xf numFmtId="165" fontId="14" fillId="0" borderId="15" xfId="2" applyNumberFormat="1" applyFont="1" applyBorder="1" applyAlignment="1">
      <alignment horizontal="right" vertical="center" indent="1"/>
    </xf>
    <xf numFmtId="167" fontId="14" fillId="0" borderId="15" xfId="2" applyNumberFormat="1" applyFont="1" applyBorder="1" applyAlignment="1">
      <alignment horizontal="right" vertical="center" indent="1"/>
    </xf>
    <xf numFmtId="168" fontId="14" fillId="0" borderId="15" xfId="2" applyNumberFormat="1" applyFont="1" applyBorder="1" applyAlignment="1">
      <alignment horizontal="right" vertical="center" indent="1"/>
    </xf>
    <xf numFmtId="0" fontId="14" fillId="0" borderId="0" xfId="2" applyFont="1" applyAlignment="1">
      <alignment horizontal="center" vertical="center"/>
    </xf>
    <xf numFmtId="168" fontId="14" fillId="6" borderId="15" xfId="2" applyNumberFormat="1" applyFont="1" applyFill="1" applyBorder="1" applyAlignment="1">
      <alignment horizontal="right" vertical="center" indent="1"/>
    </xf>
    <xf numFmtId="165" fontId="14" fillId="6" borderId="36" xfId="2" applyNumberFormat="1" applyFont="1" applyFill="1" applyBorder="1" applyAlignment="1">
      <alignment horizontal="right" vertical="center" indent="1"/>
    </xf>
    <xf numFmtId="0" fontId="14" fillId="6" borderId="15" xfId="2" applyFont="1" applyFill="1" applyBorder="1" applyAlignment="1">
      <alignment horizontal="right" vertical="center" indent="2"/>
    </xf>
    <xf numFmtId="167" fontId="14" fillId="0" borderId="15" xfId="2" applyNumberFormat="1" applyFont="1" applyBorder="1" applyAlignment="1">
      <alignment horizontal="right" vertical="center" indent="2"/>
    </xf>
    <xf numFmtId="164" fontId="14" fillId="0" borderId="15" xfId="3" applyNumberFormat="1" applyFont="1" applyBorder="1" applyAlignment="1">
      <alignment horizontal="right" vertical="center" indent="2"/>
    </xf>
    <xf numFmtId="0" fontId="14" fillId="0" borderId="0" xfId="2" applyFont="1" applyAlignment="1">
      <alignment vertical="center"/>
    </xf>
    <xf numFmtId="4" fontId="14" fillId="0" borderId="0" xfId="2" applyNumberFormat="1" applyFont="1" applyAlignment="1">
      <alignment vertical="center"/>
    </xf>
    <xf numFmtId="167" fontId="14" fillId="6" borderId="36" xfId="2" applyNumberFormat="1" applyFont="1" applyFill="1" applyBorder="1" applyAlignment="1">
      <alignment horizontal="center" vertical="center"/>
    </xf>
    <xf numFmtId="13" fontId="14" fillId="0" borderId="15" xfId="2" applyNumberFormat="1" applyFont="1" applyBorder="1" applyAlignment="1">
      <alignment horizontal="left" vertical="center" indent="1"/>
    </xf>
    <xf numFmtId="0" fontId="8" fillId="0" borderId="0" xfId="2"/>
    <xf numFmtId="10" fontId="14" fillId="0" borderId="15" xfId="3" applyNumberFormat="1" applyFont="1" applyFill="1" applyBorder="1" applyAlignment="1">
      <alignment horizontal="center" vertical="center"/>
    </xf>
    <xf numFmtId="0" fontId="16" fillId="0" borderId="0" xfId="2" applyFont="1" applyAlignment="1">
      <alignment vertical="center"/>
    </xf>
    <xf numFmtId="165" fontId="17" fillId="0" borderId="15" xfId="2" applyNumberFormat="1" applyFont="1" applyBorder="1" applyAlignment="1">
      <alignment horizontal="center" vertical="center"/>
    </xf>
    <xf numFmtId="169" fontId="9" fillId="0" borderId="0" xfId="2" applyNumberFormat="1" applyFont="1" applyAlignment="1">
      <alignment horizontal="center" vertical="center"/>
    </xf>
    <xf numFmtId="9" fontId="9" fillId="0" borderId="0" xfId="2" applyNumberFormat="1" applyFont="1" applyAlignment="1">
      <alignment horizontal="center" vertical="center"/>
    </xf>
    <xf numFmtId="168" fontId="17" fillId="0" borderId="15" xfId="2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20" fillId="3" borderId="15" xfId="0" applyFont="1" applyFill="1" applyBorder="1" applyAlignment="1">
      <alignment vertical="center"/>
    </xf>
    <xf numFmtId="0" fontId="20" fillId="2" borderId="13" xfId="0" applyFont="1" applyFill="1" applyBorder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29" xfId="0" applyFont="1" applyBorder="1" applyAlignment="1">
      <alignment horizontal="center" vertical="center"/>
    </xf>
    <xf numFmtId="0" fontId="0" fillId="4" borderId="29" xfId="0" applyFill="1" applyBorder="1"/>
    <xf numFmtId="0" fontId="0" fillId="9" borderId="29" xfId="0" applyFill="1" applyBorder="1"/>
    <xf numFmtId="0" fontId="0" fillId="4" borderId="29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10" borderId="29" xfId="0" applyFill="1" applyBorder="1"/>
    <xf numFmtId="0" fontId="0" fillId="11" borderId="29" xfId="0" applyFill="1" applyBorder="1"/>
    <xf numFmtId="0" fontId="0" fillId="12" borderId="29" xfId="0" applyFill="1" applyBorder="1"/>
    <xf numFmtId="0" fontId="0" fillId="13" borderId="29" xfId="0" applyFill="1" applyBorder="1"/>
    <xf numFmtId="9" fontId="0" fillId="2" borderId="29" xfId="1" applyFont="1" applyFill="1" applyBorder="1" applyAlignment="1">
      <alignment horizontal="center" vertical="center"/>
    </xf>
    <xf numFmtId="14" fontId="6" fillId="8" borderId="29" xfId="0" applyNumberFormat="1" applyFont="1" applyFill="1" applyBorder="1" applyAlignment="1">
      <alignment horizontal="center" vertical="center" wrapText="1"/>
    </xf>
    <xf numFmtId="14" fontId="6" fillId="9" borderId="29" xfId="0" applyNumberFormat="1" applyFont="1" applyFill="1" applyBorder="1" applyAlignment="1">
      <alignment horizontal="center" vertical="center"/>
    </xf>
    <xf numFmtId="14" fontId="0" fillId="9" borderId="29" xfId="0" applyNumberFormat="1" applyFill="1" applyBorder="1"/>
    <xf numFmtId="14" fontId="6" fillId="10" borderId="29" xfId="0" applyNumberFormat="1" applyFont="1" applyFill="1" applyBorder="1" applyAlignment="1">
      <alignment horizontal="center" vertical="center" wrapText="1"/>
    </xf>
    <xf numFmtId="14" fontId="0" fillId="10" borderId="29" xfId="0" applyNumberFormat="1" applyFill="1" applyBorder="1"/>
    <xf numFmtId="14" fontId="6" fillId="11" borderId="29" xfId="0" applyNumberFormat="1" applyFont="1" applyFill="1" applyBorder="1" applyAlignment="1">
      <alignment horizontal="center" vertical="center"/>
    </xf>
    <xf numFmtId="14" fontId="0" fillId="11" borderId="29" xfId="0" applyNumberFormat="1" applyFill="1" applyBorder="1"/>
    <xf numFmtId="14" fontId="6" fillId="12" borderId="29" xfId="0" applyNumberFormat="1" applyFont="1" applyFill="1" applyBorder="1" applyAlignment="1">
      <alignment horizontal="center" vertical="center"/>
    </xf>
    <xf numFmtId="14" fontId="0" fillId="12" borderId="29" xfId="0" applyNumberFormat="1" applyFill="1" applyBorder="1"/>
    <xf numFmtId="14" fontId="0" fillId="13" borderId="29" xfId="0" applyNumberFormat="1" applyFill="1" applyBorder="1" applyAlignment="1">
      <alignment horizontal="center" vertical="center"/>
    </xf>
    <xf numFmtId="14" fontId="0" fillId="13" borderId="29" xfId="0" applyNumberFormat="1" applyFill="1" applyBorder="1"/>
    <xf numFmtId="14" fontId="0" fillId="0" borderId="0" xfId="0" applyNumberFormat="1"/>
    <xf numFmtId="170" fontId="18" fillId="0" borderId="29" xfId="0" applyNumberFormat="1" applyFont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70" fontId="7" fillId="0" borderId="15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171" fontId="7" fillId="0" borderId="15" xfId="0" applyNumberFormat="1" applyFont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6" fillId="8" borderId="34" xfId="0" applyNumberFormat="1" applyFont="1" applyFill="1" applyBorder="1" applyAlignment="1">
      <alignment horizontal="center" vertical="center" wrapText="1"/>
    </xf>
    <xf numFmtId="172" fontId="6" fillId="8" borderId="34" xfId="0" applyNumberFormat="1" applyFont="1" applyFill="1" applyBorder="1" applyAlignment="1">
      <alignment horizontal="center" vertical="center" wrapText="1"/>
    </xf>
    <xf numFmtId="172" fontId="6" fillId="8" borderId="34" xfId="0" applyNumberFormat="1" applyFont="1" applyFill="1" applyBorder="1" applyAlignment="1">
      <alignment horizontal="center" wrapText="1"/>
    </xf>
    <xf numFmtId="0" fontId="19" fillId="0" borderId="0" xfId="0" applyFont="1" applyAlignment="1">
      <alignment vertical="center"/>
    </xf>
    <xf numFmtId="10" fontId="0" fillId="4" borderId="29" xfId="0" applyNumberForma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171" fontId="0" fillId="4" borderId="29" xfId="0" applyNumberFormat="1" applyFill="1" applyBorder="1" applyAlignment="1">
      <alignment horizontal="center" vertical="center"/>
    </xf>
    <xf numFmtId="171" fontId="0" fillId="4" borderId="29" xfId="0" applyNumberFormat="1" applyFill="1" applyBorder="1"/>
    <xf numFmtId="0" fontId="6" fillId="0" borderId="0" xfId="0" applyFont="1" applyAlignment="1">
      <alignment horizontal="center"/>
    </xf>
    <xf numFmtId="0" fontId="0" fillId="0" borderId="70" xfId="0" applyBorder="1"/>
    <xf numFmtId="0" fontId="6" fillId="0" borderId="70" xfId="0" applyFont="1" applyBorder="1" applyAlignment="1">
      <alignment horizontal="center"/>
    </xf>
    <xf numFmtId="0" fontId="0" fillId="0" borderId="71" xfId="0" applyBorder="1"/>
    <xf numFmtId="0" fontId="6" fillId="0" borderId="71" xfId="0" applyFont="1" applyBorder="1" applyAlignment="1">
      <alignment horizontal="center"/>
    </xf>
    <xf numFmtId="14" fontId="0" fillId="0" borderId="71" xfId="0" applyNumberFormat="1" applyBorder="1"/>
    <xf numFmtId="0" fontId="0" fillId="10" borderId="71" xfId="0" applyFill="1" applyBorder="1"/>
    <xf numFmtId="0" fontId="6" fillId="10" borderId="71" xfId="0" applyFont="1" applyFill="1" applyBorder="1"/>
    <xf numFmtId="0" fontId="6" fillId="0" borderId="74" xfId="0" applyFont="1" applyBorder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0" fillId="7" borderId="28" xfId="0" applyFont="1" applyFill="1" applyBorder="1" applyAlignment="1">
      <alignment horizontal="center" vertical="center"/>
    </xf>
    <xf numFmtId="0" fontId="20" fillId="7" borderId="27" xfId="0" applyFont="1" applyFill="1" applyBorder="1" applyAlignment="1">
      <alignment horizontal="center" vertical="center"/>
    </xf>
    <xf numFmtId="0" fontId="20" fillId="7" borderId="26" xfId="0" applyFont="1" applyFill="1" applyBorder="1" applyAlignment="1">
      <alignment horizontal="center" vertical="center"/>
    </xf>
    <xf numFmtId="0" fontId="20" fillId="7" borderId="14" xfId="0" applyFont="1" applyFill="1" applyBorder="1" applyAlignment="1">
      <alignment horizontal="left" vertical="center" indent="13"/>
    </xf>
    <xf numFmtId="0" fontId="20" fillId="7" borderId="13" xfId="0" applyFont="1" applyFill="1" applyBorder="1" applyAlignment="1">
      <alignment horizontal="left" vertical="center" indent="13"/>
    </xf>
    <xf numFmtId="0" fontId="20" fillId="7" borderId="12" xfId="0" applyFont="1" applyFill="1" applyBorder="1" applyAlignment="1">
      <alignment horizontal="left" vertical="center" indent="13"/>
    </xf>
    <xf numFmtId="0" fontId="0" fillId="2" borderId="4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20" fillId="7" borderId="11" xfId="0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8" borderId="15" xfId="0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21" fillId="2" borderId="40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21" fillId="2" borderId="35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14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0" borderId="74" xfId="0" applyFont="1" applyBorder="1" applyAlignment="1">
      <alignment horizontal="center"/>
    </xf>
    <xf numFmtId="170" fontId="1" fillId="0" borderId="60" xfId="0" applyNumberFormat="1" applyFont="1" applyBorder="1" applyAlignment="1">
      <alignment horizontal="center"/>
    </xf>
    <xf numFmtId="170" fontId="1" fillId="0" borderId="52" xfId="0" applyNumberFormat="1" applyFont="1" applyBorder="1" applyAlignment="1">
      <alignment horizontal="center"/>
    </xf>
    <xf numFmtId="170" fontId="0" fillId="11" borderId="68" xfId="0" applyNumberFormat="1" applyFill="1" applyBorder="1" applyAlignment="1">
      <alignment horizontal="center"/>
    </xf>
    <xf numFmtId="170" fontId="0" fillId="11" borderId="65" xfId="0" applyNumberFormat="1" applyFill="1" applyBorder="1" applyAlignment="1">
      <alignment horizontal="center"/>
    </xf>
    <xf numFmtId="0" fontId="6" fillId="11" borderId="49" xfId="0" applyFont="1" applyFill="1" applyBorder="1" applyAlignment="1">
      <alignment horizontal="left"/>
    </xf>
    <xf numFmtId="0" fontId="6" fillId="11" borderId="50" xfId="0" applyFont="1" applyFill="1" applyBorder="1" applyAlignment="1">
      <alignment horizontal="left"/>
    </xf>
    <xf numFmtId="0" fontId="6" fillId="0" borderId="49" xfId="0" applyFont="1" applyBorder="1" applyAlignment="1">
      <alignment horizontal="left"/>
    </xf>
    <xf numFmtId="0" fontId="6" fillId="0" borderId="50" xfId="0" applyFont="1" applyBorder="1" applyAlignment="1">
      <alignment horizontal="left"/>
    </xf>
    <xf numFmtId="0" fontId="6" fillId="0" borderId="51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6" fillId="0" borderId="57" xfId="0" applyFont="1" applyBorder="1" applyAlignment="1">
      <alignment horizontal="left"/>
    </xf>
    <xf numFmtId="0" fontId="6" fillId="0" borderId="58" xfId="0" applyFont="1" applyBorder="1" applyAlignment="1">
      <alignment horizontal="left"/>
    </xf>
    <xf numFmtId="171" fontId="1" fillId="0" borderId="59" xfId="0" applyNumberFormat="1" applyFont="1" applyBorder="1" applyAlignment="1">
      <alignment horizontal="center"/>
    </xf>
    <xf numFmtId="171" fontId="1" fillId="0" borderId="50" xfId="0" applyNumberFormat="1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6" fillId="11" borderId="53" xfId="0" applyFont="1" applyFill="1" applyBorder="1" applyAlignment="1">
      <alignment horizontal="left"/>
    </xf>
    <xf numFmtId="0" fontId="6" fillId="11" borderId="54" xfId="0" applyFont="1" applyFill="1" applyBorder="1" applyAlignment="1">
      <alignment horizontal="left"/>
    </xf>
    <xf numFmtId="171" fontId="0" fillId="11" borderId="67" xfId="0" applyNumberFormat="1" applyFill="1" applyBorder="1" applyAlignment="1">
      <alignment horizontal="center"/>
    </xf>
    <xf numFmtId="171" fontId="0" fillId="11" borderId="64" xfId="0" applyNumberFormat="1" applyFill="1" applyBorder="1" applyAlignment="1">
      <alignment horizontal="center"/>
    </xf>
    <xf numFmtId="0" fontId="0" fillId="11" borderId="69" xfId="0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6" fillId="0" borderId="72" xfId="0" applyFont="1" applyBorder="1" applyAlignment="1">
      <alignment horizontal="center"/>
    </xf>
    <xf numFmtId="0" fontId="6" fillId="0" borderId="75" xfId="0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left"/>
    </xf>
    <xf numFmtId="0" fontId="6" fillId="0" borderId="54" xfId="0" applyFont="1" applyBorder="1" applyAlignment="1">
      <alignment horizontal="left"/>
    </xf>
    <xf numFmtId="0" fontId="1" fillId="0" borderId="61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6" fillId="0" borderId="55" xfId="0" applyFont="1" applyBorder="1" applyAlignment="1">
      <alignment horizontal="left"/>
    </xf>
    <xf numFmtId="0" fontId="6" fillId="0" borderId="56" xfId="0" applyFont="1" applyBorder="1" applyAlignment="1">
      <alignment horizontal="left"/>
    </xf>
    <xf numFmtId="0" fontId="1" fillId="0" borderId="62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23" fillId="0" borderId="7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10" fontId="24" fillId="0" borderId="59" xfId="0" applyNumberFormat="1" applyFont="1" applyBorder="1" applyAlignment="1">
      <alignment horizontal="center" vertical="center"/>
    </xf>
    <xf numFmtId="10" fontId="24" fillId="0" borderId="50" xfId="0" applyNumberFormat="1" applyFont="1" applyBorder="1" applyAlignment="1">
      <alignment horizontal="center" vertical="center"/>
    </xf>
    <xf numFmtId="10" fontId="24" fillId="0" borderId="61" xfId="0" applyNumberFormat="1" applyFont="1" applyBorder="1" applyAlignment="1">
      <alignment horizontal="center" vertical="center"/>
    </xf>
    <xf numFmtId="10" fontId="24" fillId="0" borderId="54" xfId="0" applyNumberFormat="1" applyFont="1" applyBorder="1" applyAlignment="1">
      <alignment horizontal="center" vertical="center"/>
    </xf>
    <xf numFmtId="0" fontId="6" fillId="10" borderId="71" xfId="0" applyFont="1" applyFill="1" applyBorder="1" applyAlignment="1">
      <alignment horizontal="center"/>
    </xf>
    <xf numFmtId="0" fontId="6" fillId="0" borderId="71" xfId="0" applyFont="1" applyBorder="1" applyAlignment="1">
      <alignment horizontal="center" vertical="center"/>
    </xf>
    <xf numFmtId="0" fontId="6" fillId="11" borderId="51" xfId="0" applyFont="1" applyFill="1" applyBorder="1" applyAlignment="1">
      <alignment horizontal="left"/>
    </xf>
    <xf numFmtId="0" fontId="6" fillId="11" borderId="52" xfId="0" applyFont="1" applyFill="1" applyBorder="1" applyAlignment="1">
      <alignment horizontal="left"/>
    </xf>
    <xf numFmtId="0" fontId="15" fillId="6" borderId="14" xfId="2" applyFont="1" applyFill="1" applyBorder="1" applyAlignment="1">
      <alignment horizontal="left" vertical="center" indent="1"/>
    </xf>
    <xf numFmtId="0" fontId="15" fillId="6" borderId="13" xfId="2" applyFont="1" applyFill="1" applyBorder="1" applyAlignment="1">
      <alignment horizontal="left" vertical="center" indent="1"/>
    </xf>
    <xf numFmtId="0" fontId="15" fillId="6" borderId="12" xfId="2" applyFont="1" applyFill="1" applyBorder="1" applyAlignment="1">
      <alignment horizontal="left" vertical="center" indent="1"/>
    </xf>
    <xf numFmtId="0" fontId="14" fillId="0" borderId="14" xfId="2" applyFont="1" applyBorder="1" applyAlignment="1">
      <alignment horizontal="left" vertical="center" indent="1"/>
    </xf>
    <xf numFmtId="0" fontId="14" fillId="0" borderId="13" xfId="2" applyFont="1" applyBorder="1" applyAlignment="1">
      <alignment horizontal="left" vertical="center" indent="1"/>
    </xf>
    <xf numFmtId="0" fontId="14" fillId="0" borderId="12" xfId="2" applyFont="1" applyBorder="1" applyAlignment="1">
      <alignment horizontal="left" vertical="center" indent="1"/>
    </xf>
    <xf numFmtId="0" fontId="10" fillId="5" borderId="14" xfId="2" applyFont="1" applyFill="1" applyBorder="1" applyAlignment="1">
      <alignment horizontal="left" vertical="center" indent="1"/>
    </xf>
    <xf numFmtId="0" fontId="10" fillId="5" borderId="13" xfId="2" applyFont="1" applyFill="1" applyBorder="1" applyAlignment="1">
      <alignment horizontal="left" vertical="center" indent="1"/>
    </xf>
    <xf numFmtId="165" fontId="11" fillId="5" borderId="13" xfId="2" applyNumberFormat="1" applyFont="1" applyFill="1" applyBorder="1" applyAlignment="1">
      <alignment horizontal="right" vertical="center"/>
    </xf>
    <xf numFmtId="165" fontId="11" fillId="5" borderId="12" xfId="2" applyNumberFormat="1" applyFont="1" applyFill="1" applyBorder="1" applyAlignment="1">
      <alignment horizontal="right" vertical="center"/>
    </xf>
    <xf numFmtId="0" fontId="12" fillId="5" borderId="14" xfId="2" applyFont="1" applyFill="1" applyBorder="1" applyAlignment="1">
      <alignment horizontal="left" vertical="center" indent="1"/>
    </xf>
    <xf numFmtId="0" fontId="12" fillId="5" borderId="13" xfId="2" applyFont="1" applyFill="1" applyBorder="1" applyAlignment="1">
      <alignment horizontal="left" vertical="center" indent="1"/>
    </xf>
    <xf numFmtId="0" fontId="15" fillId="0" borderId="15" xfId="2" applyFont="1" applyBorder="1" applyAlignment="1">
      <alignment horizontal="left" vertical="center" indent="1"/>
    </xf>
    <xf numFmtId="0" fontId="14" fillId="0" borderId="15" xfId="2" applyFont="1" applyBorder="1" applyAlignment="1">
      <alignment horizontal="left" vertical="center" indent="1"/>
    </xf>
    <xf numFmtId="0" fontId="12" fillId="5" borderId="15" xfId="2" applyFont="1" applyFill="1" applyBorder="1" applyAlignment="1">
      <alignment horizontal="left" vertical="center" indent="1"/>
    </xf>
    <xf numFmtId="0" fontId="12" fillId="5" borderId="12" xfId="2" applyFont="1" applyFill="1" applyBorder="1" applyAlignment="1">
      <alignment horizontal="left" vertical="center" indent="1"/>
    </xf>
    <xf numFmtId="0" fontId="14" fillId="6" borderId="14" xfId="2" applyFont="1" applyFill="1" applyBorder="1" applyAlignment="1">
      <alignment horizontal="left" vertical="center" indent="1"/>
    </xf>
    <xf numFmtId="0" fontId="14" fillId="6" borderId="13" xfId="2" applyFont="1" applyFill="1" applyBorder="1" applyAlignment="1">
      <alignment horizontal="left" vertical="center" indent="1"/>
    </xf>
    <xf numFmtId="0" fontId="14" fillId="6" borderId="12" xfId="2" applyFont="1" applyFill="1" applyBorder="1" applyAlignment="1">
      <alignment horizontal="left" vertical="center" indent="1"/>
    </xf>
    <xf numFmtId="0" fontId="0" fillId="2" borderId="29" xfId="0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/>
    </xf>
  </cellXfs>
  <cellStyles count="4">
    <cellStyle name="Normal" xfId="0" builtinId="0"/>
    <cellStyle name="Normal 4" xfId="2" xr:uid="{00000000-0005-0000-0000-000001000000}"/>
    <cellStyle name="Yüzde" xfId="1" builtinId="5"/>
    <cellStyle name="Yüzde 4" xfId="3" xr:uid="{00000000-0005-0000-0000-000003000000}"/>
  </cellStyles>
  <dxfs count="1">
    <dxf>
      <font>
        <color theme="0"/>
      </font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D0080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16" fmlaLink="$C$5" max="30000" min="1" page="10" val="600"/>
</file>

<file path=xl/ctrlProps/ctrlProp2.xml><?xml version="1.0" encoding="utf-8"?>
<formControlPr xmlns="http://schemas.microsoft.com/office/spreadsheetml/2009/9/main" objectType="Spin" dx="26" fmlaLink="$N$23" inc="100" max="30000" page="10" val="0"/>
</file>

<file path=xl/ctrlProps/ctrlProp3.xml><?xml version="1.0" encoding="utf-8"?>
<formControlPr xmlns="http://schemas.microsoft.com/office/spreadsheetml/2009/9/main" objectType="Spin" dx="26" fmlaLink="$N$23" inc="10" max="30000" page="10" val="0"/>
</file>

<file path=xl/ctrlProps/ctrlProp4.xml><?xml version="1.0" encoding="utf-8"?>
<formControlPr xmlns="http://schemas.microsoft.com/office/spreadsheetml/2009/9/main" objectType="Spin" dx="26" fmlaLink="$N$23" max="30000" page="1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</xdr:colOff>
      <xdr:row>1</xdr:row>
      <xdr:rowOff>2</xdr:rowOff>
    </xdr:from>
    <xdr:to>
      <xdr:col>3</xdr:col>
      <xdr:colOff>0</xdr:colOff>
      <xdr:row>2</xdr:row>
      <xdr:rowOff>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2F6E978-04EF-48EE-9072-903C83FE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42" y="175262"/>
          <a:ext cx="1965558" cy="480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</xdr:colOff>
      <xdr:row>1</xdr:row>
      <xdr:rowOff>2</xdr:rowOff>
    </xdr:from>
    <xdr:to>
      <xdr:col>3</xdr:col>
      <xdr:colOff>0</xdr:colOff>
      <xdr:row>2</xdr:row>
      <xdr:rowOff>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78AA176-1111-242B-EB8E-588B2F04E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52" y="171452"/>
          <a:ext cx="1961748" cy="476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</xdr:row>
      <xdr:rowOff>7620</xdr:rowOff>
    </xdr:from>
    <xdr:to>
      <xdr:col>4</xdr:col>
      <xdr:colOff>137160</xdr:colOff>
      <xdr:row>14</xdr:row>
      <xdr:rowOff>50820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1DEC0629-0B65-B035-FDA9-AE567E4EAAC6}"/>
            </a:ext>
          </a:extLst>
        </xdr:cNvPr>
        <xdr:cNvSpPr/>
      </xdr:nvSpPr>
      <xdr:spPr>
        <a:xfrm>
          <a:off x="152400" y="739140"/>
          <a:ext cx="2423160" cy="1872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16</xdr:row>
      <xdr:rowOff>106680</xdr:rowOff>
    </xdr:from>
    <xdr:to>
      <xdr:col>4</xdr:col>
      <xdr:colOff>129540</xdr:colOff>
      <xdr:row>26</xdr:row>
      <xdr:rowOff>149880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EB2B275E-1371-4558-97EF-14A3C60ED35C}"/>
            </a:ext>
          </a:extLst>
        </xdr:cNvPr>
        <xdr:cNvSpPr/>
      </xdr:nvSpPr>
      <xdr:spPr>
        <a:xfrm>
          <a:off x="152400" y="3032760"/>
          <a:ext cx="2415540" cy="18720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152400</xdr:colOff>
      <xdr:row>4</xdr:row>
      <xdr:rowOff>7620</xdr:rowOff>
    </xdr:from>
    <xdr:to>
      <xdr:col>1</xdr:col>
      <xdr:colOff>536400</xdr:colOff>
      <xdr:row>12</xdr:row>
      <xdr:rowOff>70980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550A3AEE-7DAF-45E7-B8DA-F80BE71DB4E8}"/>
            </a:ext>
          </a:extLst>
        </xdr:cNvPr>
        <xdr:cNvSpPr/>
      </xdr:nvSpPr>
      <xdr:spPr>
        <a:xfrm>
          <a:off x="152400" y="739140"/>
          <a:ext cx="993600" cy="1526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138cm*212cm</a:t>
          </a:r>
        </a:p>
        <a:p>
          <a:pPr algn="l"/>
          <a:endParaRPr lang="tr-TR" sz="1100">
            <a:solidFill>
              <a:sysClr val="windowText" lastClr="000000"/>
            </a:solidFill>
          </a:endParaRPr>
        </a:p>
        <a:p>
          <a:pPr algn="l"/>
          <a:r>
            <a:rPr lang="tr-TR" sz="1100">
              <a:solidFill>
                <a:sysClr val="windowText" lastClr="000000"/>
              </a:solidFill>
            </a:rPr>
            <a:t>Renk Başı</a:t>
          </a:r>
        </a:p>
        <a:p>
          <a:pPr algn="l"/>
          <a:r>
            <a:rPr lang="tr-TR" sz="1100">
              <a:solidFill>
                <a:sysClr val="windowText" lastClr="000000"/>
              </a:solidFill>
            </a:rPr>
            <a:t>240 ADET</a:t>
          </a:r>
        </a:p>
      </xdr:txBody>
    </xdr:sp>
    <xdr:clientData/>
  </xdr:twoCellAnchor>
  <xdr:twoCellAnchor>
    <xdr:from>
      <xdr:col>0</xdr:col>
      <xdr:colOff>160020</xdr:colOff>
      <xdr:row>16</xdr:row>
      <xdr:rowOff>114300</xdr:rowOff>
    </xdr:from>
    <xdr:to>
      <xdr:col>2</xdr:col>
      <xdr:colOff>78420</xdr:colOff>
      <xdr:row>25</xdr:row>
      <xdr:rowOff>138780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2A303810-8FCC-4B66-8452-03DEE986A736}"/>
            </a:ext>
          </a:extLst>
        </xdr:cNvPr>
        <xdr:cNvSpPr/>
      </xdr:nvSpPr>
      <xdr:spPr>
        <a:xfrm>
          <a:off x="160020" y="3040380"/>
          <a:ext cx="1137600" cy="1670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>
              <a:solidFill>
                <a:sysClr val="windowText" lastClr="000000"/>
              </a:solidFill>
            </a:rPr>
            <a:t>158 cm*232 cm</a:t>
          </a:r>
        </a:p>
        <a:p>
          <a:pPr algn="l"/>
          <a:endParaRPr lang="tr-TR" sz="1100">
            <a:solidFill>
              <a:sysClr val="windowText" lastClr="000000"/>
            </a:solidFill>
          </a:endParaRPr>
        </a:p>
        <a:p>
          <a:pPr algn="l"/>
          <a:r>
            <a:rPr lang="tr-TR" sz="1100">
              <a:solidFill>
                <a:sysClr val="windowText" lastClr="000000"/>
              </a:solidFill>
            </a:rPr>
            <a:t>Renk</a:t>
          </a:r>
          <a:r>
            <a:rPr lang="tr-TR" sz="1100" baseline="0">
              <a:solidFill>
                <a:sysClr val="windowText" lastClr="000000"/>
              </a:solidFill>
            </a:rPr>
            <a:t> başı </a:t>
          </a:r>
          <a:endParaRPr lang="tr-TR" sz="1100">
            <a:solidFill>
              <a:sysClr val="windowText" lastClr="000000"/>
            </a:solidFill>
          </a:endParaRPr>
        </a:p>
        <a:p>
          <a:pPr algn="l"/>
          <a:r>
            <a:rPr lang="tr-TR" sz="1100">
              <a:solidFill>
                <a:sysClr val="windowText" lastClr="000000"/>
              </a:solidFill>
            </a:rPr>
            <a:t>160 ADET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1013460</xdr:colOff>
          <xdr:row>4</xdr:row>
          <xdr:rowOff>7620</xdr:rowOff>
        </xdr:from>
        <xdr:to>
          <xdr:col>3</xdr:col>
          <xdr:colOff>0</xdr:colOff>
          <xdr:row>4</xdr:row>
          <xdr:rowOff>274320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2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198120</xdr:colOff>
          <xdr:row>22</xdr:row>
          <xdr:rowOff>30480</xdr:rowOff>
        </xdr:from>
        <xdr:to>
          <xdr:col>12</xdr:col>
          <xdr:colOff>563880</xdr:colOff>
          <xdr:row>23</xdr:row>
          <xdr:rowOff>259080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2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571500</xdr:colOff>
          <xdr:row>22</xdr:row>
          <xdr:rowOff>30480</xdr:rowOff>
        </xdr:from>
        <xdr:to>
          <xdr:col>12</xdr:col>
          <xdr:colOff>937260</xdr:colOff>
          <xdr:row>23</xdr:row>
          <xdr:rowOff>259080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2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937260</xdr:colOff>
          <xdr:row>22</xdr:row>
          <xdr:rowOff>30480</xdr:rowOff>
        </xdr:from>
        <xdr:to>
          <xdr:col>13</xdr:col>
          <xdr:colOff>182880</xdr:colOff>
          <xdr:row>23</xdr:row>
          <xdr:rowOff>259080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2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  <pageSetUpPr fitToPage="1"/>
  </sheetPr>
  <dimension ref="B1:W45"/>
  <sheetViews>
    <sheetView showZeros="0" zoomScale="80" zoomScaleNormal="80" workbookViewId="0">
      <selection activeCell="Y25" sqref="Y25"/>
    </sheetView>
  </sheetViews>
  <sheetFormatPr defaultColWidth="1.6640625" defaultRowHeight="14.4" outlineLevelCol="1" x14ac:dyDescent="0.3"/>
  <cols>
    <col min="1" max="1" width="0.6640625" style="1" customWidth="1"/>
    <col min="2" max="6" width="14.33203125" style="1" customWidth="1"/>
    <col min="7" max="7" width="14.33203125" style="3" customWidth="1"/>
    <col min="8" max="9" width="14.33203125" style="1" customWidth="1"/>
    <col min="10" max="10" width="2.88671875" style="1" customWidth="1"/>
    <col min="11" max="16" width="7.6640625" style="3" hidden="1" customWidth="1" outlineLevel="1"/>
    <col min="17" max="22" width="7.6640625" style="1" hidden="1" customWidth="1" outlineLevel="1"/>
    <col min="23" max="23" width="5.6640625" style="1" customWidth="1" collapsed="1"/>
    <col min="24" max="50" width="5.6640625" style="1" customWidth="1"/>
    <col min="51" max="16384" width="1.6640625" style="1"/>
  </cols>
  <sheetData>
    <row r="1" spans="2:22" ht="13.95" customHeight="1" x14ac:dyDescent="0.3">
      <c r="C1" s="136"/>
      <c r="D1" s="136"/>
      <c r="E1" s="136"/>
      <c r="F1" s="136"/>
      <c r="G1" s="136"/>
      <c r="H1" s="136"/>
    </row>
    <row r="2" spans="2:22" ht="37.950000000000003" customHeight="1" x14ac:dyDescent="0.3">
      <c r="B2" s="39" t="s">
        <v>76</v>
      </c>
      <c r="C2" s="39"/>
      <c r="D2" s="116" t="s">
        <v>103</v>
      </c>
      <c r="E2" s="117"/>
      <c r="F2" s="117"/>
      <c r="G2" s="117"/>
      <c r="H2" s="117"/>
      <c r="I2" s="118"/>
      <c r="K2" s="143" t="s">
        <v>94</v>
      </c>
      <c r="L2" s="144"/>
      <c r="M2" s="144"/>
      <c r="N2" s="144"/>
      <c r="O2" s="144"/>
      <c r="P2" s="145"/>
      <c r="Q2" s="143" t="s">
        <v>95</v>
      </c>
      <c r="R2" s="144"/>
      <c r="S2" s="144"/>
      <c r="T2" s="144"/>
      <c r="U2" s="144"/>
      <c r="V2" s="145"/>
    </row>
    <row r="3" spans="2:22" ht="8.4" customHeight="1" x14ac:dyDescent="0.3">
      <c r="B3" s="40"/>
      <c r="C3" s="40"/>
      <c r="D3" s="40"/>
      <c r="E3" s="41"/>
      <c r="F3" s="41"/>
      <c r="G3" s="41"/>
      <c r="H3" s="41"/>
      <c r="I3" s="40"/>
      <c r="K3" s="146"/>
      <c r="L3" s="147"/>
      <c r="M3" s="147"/>
      <c r="N3" s="147"/>
      <c r="O3" s="147"/>
      <c r="P3" s="148"/>
      <c r="Q3" s="146"/>
      <c r="R3" s="147"/>
      <c r="S3" s="147"/>
      <c r="T3" s="147"/>
      <c r="U3" s="147"/>
      <c r="V3" s="148"/>
    </row>
    <row r="4" spans="2:22" ht="19.95" customHeight="1" x14ac:dyDescent="0.3">
      <c r="B4" s="43" t="s">
        <v>79</v>
      </c>
      <c r="C4" s="154"/>
      <c r="D4" s="154"/>
      <c r="E4" s="154"/>
      <c r="F4" s="122" t="s">
        <v>77</v>
      </c>
      <c r="G4" s="122"/>
      <c r="H4" s="152"/>
      <c r="I4" s="153"/>
      <c r="K4" s="146"/>
      <c r="L4" s="147"/>
      <c r="M4" s="147"/>
      <c r="N4" s="147"/>
      <c r="O4" s="147"/>
      <c r="P4" s="148"/>
      <c r="Q4" s="146"/>
      <c r="R4" s="147"/>
      <c r="S4" s="147"/>
      <c r="T4" s="147"/>
      <c r="U4" s="147"/>
      <c r="V4" s="148"/>
    </row>
    <row r="5" spans="2:22" ht="19.95" customHeight="1" x14ac:dyDescent="0.3">
      <c r="B5" s="43" t="s">
        <v>75</v>
      </c>
      <c r="C5" s="154"/>
      <c r="D5" s="154"/>
      <c r="E5" s="154"/>
      <c r="F5" s="122" t="s">
        <v>78</v>
      </c>
      <c r="G5" s="122"/>
      <c r="H5" s="152"/>
      <c r="I5" s="152"/>
      <c r="K5" s="149"/>
      <c r="L5" s="150"/>
      <c r="M5" s="150"/>
      <c r="N5" s="150"/>
      <c r="O5" s="150"/>
      <c r="P5" s="151"/>
      <c r="Q5" s="149"/>
      <c r="R5" s="150"/>
      <c r="S5" s="150"/>
      <c r="T5" s="150"/>
      <c r="U5" s="150"/>
      <c r="V5" s="151"/>
    </row>
    <row r="6" spans="2:22" ht="15" customHeight="1" x14ac:dyDescent="0.3">
      <c r="Q6" s="3"/>
      <c r="R6" s="3"/>
      <c r="S6" s="3"/>
      <c r="T6" s="3"/>
      <c r="U6" s="3"/>
      <c r="V6" s="3"/>
    </row>
    <row r="7" spans="2:22" s="3" customFormat="1" ht="15" customHeight="1" x14ac:dyDescent="0.3">
      <c r="B7" s="42" t="s">
        <v>80</v>
      </c>
      <c r="C7" s="158" t="s">
        <v>81</v>
      </c>
      <c r="D7" s="158"/>
      <c r="E7" s="158"/>
      <c r="F7" s="158"/>
      <c r="G7" s="42" t="s">
        <v>1</v>
      </c>
      <c r="H7" s="42" t="s">
        <v>104</v>
      </c>
      <c r="I7" s="42" t="s">
        <v>82</v>
      </c>
      <c r="K7" s="45" t="s">
        <v>89</v>
      </c>
      <c r="L7" s="45" t="s">
        <v>84</v>
      </c>
      <c r="M7" s="45" t="s">
        <v>90</v>
      </c>
      <c r="N7" s="45" t="s">
        <v>91</v>
      </c>
      <c r="O7" s="45" t="s">
        <v>92</v>
      </c>
      <c r="P7" s="45" t="s">
        <v>93</v>
      </c>
      <c r="Q7" s="45" t="s">
        <v>89</v>
      </c>
      <c r="R7" s="45" t="s">
        <v>84</v>
      </c>
      <c r="S7" s="45" t="s">
        <v>90</v>
      </c>
      <c r="T7" s="45" t="s">
        <v>91</v>
      </c>
      <c r="U7" s="45" t="s">
        <v>92</v>
      </c>
      <c r="V7" s="45" t="s">
        <v>93</v>
      </c>
    </row>
    <row r="8" spans="2:22" ht="15" customHeight="1" x14ac:dyDescent="0.3">
      <c r="B8" s="4">
        <v>1</v>
      </c>
      <c r="C8" s="110"/>
      <c r="D8" s="110"/>
      <c r="E8" s="110"/>
      <c r="F8" s="110"/>
      <c r="G8" s="37"/>
      <c r="H8" s="38"/>
      <c r="I8" s="74"/>
      <c r="K8" s="45">
        <f>'Genel Durum'!J3</f>
        <v>0</v>
      </c>
      <c r="L8" s="45">
        <f>'Genel Durum'!Q3</f>
        <v>0</v>
      </c>
      <c r="M8" s="45">
        <f>'Genel Durum'!AC3</f>
        <v>0</v>
      </c>
      <c r="N8" s="45">
        <f>'Genel Durum'!AO3</f>
        <v>0</v>
      </c>
      <c r="O8" s="45">
        <f>'Genel Durum'!AZ3</f>
        <v>0</v>
      </c>
      <c r="P8" s="45">
        <f>'Genel Durum'!BK3</f>
        <v>0</v>
      </c>
      <c r="Q8" s="56">
        <f>IFERROR(K8/$I8,0)</f>
        <v>0</v>
      </c>
      <c r="R8" s="56">
        <f t="shared" ref="R8:V8" si="0">IFERROR(L8/$I8,0)</f>
        <v>0</v>
      </c>
      <c r="S8" s="56">
        <f t="shared" si="0"/>
        <v>0</v>
      </c>
      <c r="T8" s="56">
        <f t="shared" si="0"/>
        <v>0</v>
      </c>
      <c r="U8" s="56">
        <f t="shared" si="0"/>
        <v>0</v>
      </c>
      <c r="V8" s="56">
        <f t="shared" si="0"/>
        <v>0</v>
      </c>
    </row>
    <row r="9" spans="2:22" ht="15" customHeight="1" x14ac:dyDescent="0.3">
      <c r="B9" s="4">
        <v>2</v>
      </c>
      <c r="C9" s="110"/>
      <c r="D9" s="110"/>
      <c r="E9" s="110"/>
      <c r="F9" s="110"/>
      <c r="G9" s="37"/>
      <c r="H9" s="38"/>
      <c r="I9" s="74"/>
      <c r="K9" s="45">
        <f>'Genel Durum'!J4</f>
        <v>0</v>
      </c>
      <c r="L9" s="45">
        <f>'Genel Durum'!Q4</f>
        <v>0</v>
      </c>
      <c r="M9" s="45">
        <f>'Genel Durum'!AC4</f>
        <v>0</v>
      </c>
      <c r="N9" s="45">
        <f>'Genel Durum'!AO4</f>
        <v>0</v>
      </c>
      <c r="O9" s="45">
        <f>'Genel Durum'!AZ4</f>
        <v>0</v>
      </c>
      <c r="P9" s="45">
        <f>'Genel Durum'!BK4</f>
        <v>0</v>
      </c>
      <c r="Q9" s="56">
        <f t="shared" ref="Q9:Q17" si="1">IFERROR(K9/$I9,0)</f>
        <v>0</v>
      </c>
      <c r="R9" s="56">
        <f t="shared" ref="R9:R17" si="2">IFERROR(L9/$I9,0)</f>
        <v>0</v>
      </c>
      <c r="S9" s="56">
        <f t="shared" ref="S9:S17" si="3">IFERROR(M9/$I9,0)</f>
        <v>0</v>
      </c>
      <c r="T9" s="56">
        <f t="shared" ref="T9:T17" si="4">IFERROR(N9/$I9,0)</f>
        <v>0</v>
      </c>
      <c r="U9" s="56">
        <f t="shared" ref="U9:U17" si="5">IFERROR(O9/$I9,0)</f>
        <v>0</v>
      </c>
      <c r="V9" s="56">
        <f t="shared" ref="V9:V17" si="6">IFERROR(P9/$I9,0)</f>
        <v>0</v>
      </c>
    </row>
    <row r="10" spans="2:22" ht="15" customHeight="1" x14ac:dyDescent="0.3">
      <c r="B10" s="4">
        <v>3</v>
      </c>
      <c r="C10" s="110"/>
      <c r="D10" s="110"/>
      <c r="E10" s="110"/>
      <c r="F10" s="110"/>
      <c r="G10" s="37"/>
      <c r="H10" s="38"/>
      <c r="I10" s="74"/>
      <c r="K10" s="45">
        <f>'Genel Durum'!J5</f>
        <v>0</v>
      </c>
      <c r="L10" s="45">
        <f>'Genel Durum'!Q5</f>
        <v>0</v>
      </c>
      <c r="M10" s="45">
        <f>'Genel Durum'!AC5</f>
        <v>0</v>
      </c>
      <c r="N10" s="45">
        <f>'Genel Durum'!AO5</f>
        <v>0</v>
      </c>
      <c r="O10" s="45">
        <f>'Genel Durum'!AZ5</f>
        <v>0</v>
      </c>
      <c r="P10" s="45">
        <f>'Genel Durum'!BK5</f>
        <v>0</v>
      </c>
      <c r="Q10" s="56">
        <f t="shared" si="1"/>
        <v>0</v>
      </c>
      <c r="R10" s="56">
        <f t="shared" si="2"/>
        <v>0</v>
      </c>
      <c r="S10" s="56">
        <f t="shared" si="3"/>
        <v>0</v>
      </c>
      <c r="T10" s="56">
        <f t="shared" si="4"/>
        <v>0</v>
      </c>
      <c r="U10" s="56">
        <f t="shared" si="5"/>
        <v>0</v>
      </c>
      <c r="V10" s="56">
        <f t="shared" si="6"/>
        <v>0</v>
      </c>
    </row>
    <row r="11" spans="2:22" ht="15" customHeight="1" x14ac:dyDescent="0.3">
      <c r="B11" s="4">
        <v>4</v>
      </c>
      <c r="C11" s="110"/>
      <c r="D11" s="110"/>
      <c r="E11" s="110"/>
      <c r="F11" s="110"/>
      <c r="G11" s="37"/>
      <c r="H11" s="38"/>
      <c r="I11" s="74"/>
      <c r="K11" s="45">
        <f>'Genel Durum'!J6</f>
        <v>0</v>
      </c>
      <c r="L11" s="45">
        <f>'Genel Durum'!Q6</f>
        <v>0</v>
      </c>
      <c r="M11" s="45">
        <f>'Genel Durum'!AC6</f>
        <v>0</v>
      </c>
      <c r="N11" s="45">
        <f>'Genel Durum'!AO6</f>
        <v>0</v>
      </c>
      <c r="O11" s="45">
        <f>'Genel Durum'!AZ6</f>
        <v>0</v>
      </c>
      <c r="P11" s="45">
        <f>'Genel Durum'!BK6</f>
        <v>0</v>
      </c>
      <c r="Q11" s="56">
        <f t="shared" si="1"/>
        <v>0</v>
      </c>
      <c r="R11" s="56">
        <f t="shared" si="2"/>
        <v>0</v>
      </c>
      <c r="S11" s="56">
        <f t="shared" si="3"/>
        <v>0</v>
      </c>
      <c r="T11" s="56">
        <f t="shared" si="4"/>
        <v>0</v>
      </c>
      <c r="U11" s="56">
        <f t="shared" si="5"/>
        <v>0</v>
      </c>
      <c r="V11" s="56">
        <f t="shared" si="6"/>
        <v>0</v>
      </c>
    </row>
    <row r="12" spans="2:22" ht="15" customHeight="1" x14ac:dyDescent="0.3">
      <c r="B12" s="4">
        <v>5</v>
      </c>
      <c r="C12" s="110"/>
      <c r="D12" s="110"/>
      <c r="E12" s="110"/>
      <c r="F12" s="110"/>
      <c r="G12" s="37"/>
      <c r="H12" s="73"/>
      <c r="I12" s="74"/>
      <c r="K12" s="45">
        <f>'Genel Durum'!J7</f>
        <v>0</v>
      </c>
      <c r="L12" s="45">
        <f>'Genel Durum'!Q7</f>
        <v>0</v>
      </c>
      <c r="M12" s="45">
        <f>'Genel Durum'!AC7</f>
        <v>0</v>
      </c>
      <c r="N12" s="45">
        <f>'Genel Durum'!AO7</f>
        <v>0</v>
      </c>
      <c r="O12" s="45">
        <f>'Genel Durum'!AZ7</f>
        <v>0</v>
      </c>
      <c r="P12" s="45">
        <f>'Genel Durum'!BK7</f>
        <v>0</v>
      </c>
      <c r="Q12" s="56">
        <f t="shared" si="1"/>
        <v>0</v>
      </c>
      <c r="R12" s="56">
        <f t="shared" si="2"/>
        <v>0</v>
      </c>
      <c r="S12" s="56">
        <f t="shared" si="3"/>
        <v>0</v>
      </c>
      <c r="T12" s="56">
        <f t="shared" si="4"/>
        <v>0</v>
      </c>
      <c r="U12" s="56">
        <f t="shared" si="5"/>
        <v>0</v>
      </c>
      <c r="V12" s="56">
        <f t="shared" si="6"/>
        <v>0</v>
      </c>
    </row>
    <row r="13" spans="2:22" ht="15" customHeight="1" x14ac:dyDescent="0.3">
      <c r="B13" s="4">
        <v>6</v>
      </c>
      <c r="C13" s="110"/>
      <c r="D13" s="110"/>
      <c r="E13" s="110"/>
      <c r="F13" s="110"/>
      <c r="G13" s="37"/>
      <c r="H13" s="73"/>
      <c r="I13" s="74"/>
      <c r="K13" s="45">
        <f>'Genel Durum'!J8</f>
        <v>0</v>
      </c>
      <c r="L13" s="45">
        <f>'Genel Durum'!Q8</f>
        <v>0</v>
      </c>
      <c r="M13" s="45">
        <f>'Genel Durum'!AC8</f>
        <v>0</v>
      </c>
      <c r="N13" s="45">
        <f>'Genel Durum'!AO8</f>
        <v>0</v>
      </c>
      <c r="O13" s="45">
        <f>'Genel Durum'!AZ8</f>
        <v>0</v>
      </c>
      <c r="P13" s="45">
        <f>'Genel Durum'!BK8</f>
        <v>0</v>
      </c>
      <c r="Q13" s="56">
        <f t="shared" si="1"/>
        <v>0</v>
      </c>
      <c r="R13" s="56">
        <f t="shared" si="2"/>
        <v>0</v>
      </c>
      <c r="S13" s="56">
        <f t="shared" si="3"/>
        <v>0</v>
      </c>
      <c r="T13" s="56">
        <f t="shared" si="4"/>
        <v>0</v>
      </c>
      <c r="U13" s="56">
        <f t="shared" si="5"/>
        <v>0</v>
      </c>
      <c r="V13" s="56">
        <f t="shared" si="6"/>
        <v>0</v>
      </c>
    </row>
    <row r="14" spans="2:22" ht="15" customHeight="1" x14ac:dyDescent="0.3">
      <c r="B14" s="4">
        <v>7</v>
      </c>
      <c r="C14" s="110"/>
      <c r="D14" s="110"/>
      <c r="E14" s="110"/>
      <c r="F14" s="110"/>
      <c r="G14" s="37"/>
      <c r="H14" s="73"/>
      <c r="I14" s="74"/>
      <c r="K14" s="45">
        <f>'Genel Durum'!J9</f>
        <v>0</v>
      </c>
      <c r="L14" s="45">
        <f>'Genel Durum'!Q9</f>
        <v>0</v>
      </c>
      <c r="M14" s="45">
        <f>'Genel Durum'!AC9</f>
        <v>0</v>
      </c>
      <c r="N14" s="45">
        <f>'Genel Durum'!AO9</f>
        <v>0</v>
      </c>
      <c r="O14" s="45">
        <f>'Genel Durum'!AZ9</f>
        <v>0</v>
      </c>
      <c r="P14" s="45">
        <f>'Genel Durum'!BK9</f>
        <v>0</v>
      </c>
      <c r="Q14" s="56">
        <f t="shared" si="1"/>
        <v>0</v>
      </c>
      <c r="R14" s="56">
        <f t="shared" si="2"/>
        <v>0</v>
      </c>
      <c r="S14" s="56">
        <f t="shared" si="3"/>
        <v>0</v>
      </c>
      <c r="T14" s="56">
        <f t="shared" si="4"/>
        <v>0</v>
      </c>
      <c r="U14" s="56">
        <f t="shared" si="5"/>
        <v>0</v>
      </c>
      <c r="V14" s="56">
        <f t="shared" si="6"/>
        <v>0</v>
      </c>
    </row>
    <row r="15" spans="2:22" ht="15" customHeight="1" x14ac:dyDescent="0.3">
      <c r="B15" s="4">
        <v>8</v>
      </c>
      <c r="C15" s="110"/>
      <c r="D15" s="110"/>
      <c r="E15" s="110"/>
      <c r="F15" s="110"/>
      <c r="G15" s="37"/>
      <c r="H15" s="73"/>
      <c r="I15" s="74"/>
      <c r="K15" s="45">
        <f>'Genel Durum'!J10</f>
        <v>0</v>
      </c>
      <c r="L15" s="45">
        <f>'Genel Durum'!Q10</f>
        <v>0</v>
      </c>
      <c r="M15" s="45">
        <f>'Genel Durum'!AC10</f>
        <v>0</v>
      </c>
      <c r="N15" s="45">
        <f>'Genel Durum'!AO10</f>
        <v>0</v>
      </c>
      <c r="O15" s="45">
        <f>'Genel Durum'!AZ10</f>
        <v>0</v>
      </c>
      <c r="P15" s="45">
        <f>'Genel Durum'!BK10</f>
        <v>0</v>
      </c>
      <c r="Q15" s="56">
        <f t="shared" si="1"/>
        <v>0</v>
      </c>
      <c r="R15" s="56">
        <f t="shared" si="2"/>
        <v>0</v>
      </c>
      <c r="S15" s="56">
        <f t="shared" si="3"/>
        <v>0</v>
      </c>
      <c r="T15" s="56">
        <f t="shared" si="4"/>
        <v>0</v>
      </c>
      <c r="U15" s="56">
        <f t="shared" si="5"/>
        <v>0</v>
      </c>
      <c r="V15" s="56">
        <f t="shared" si="6"/>
        <v>0</v>
      </c>
    </row>
    <row r="16" spans="2:22" ht="15" customHeight="1" x14ac:dyDescent="0.3">
      <c r="B16" s="4">
        <v>9</v>
      </c>
      <c r="C16" s="110"/>
      <c r="D16" s="110"/>
      <c r="E16" s="110"/>
      <c r="F16" s="110"/>
      <c r="G16" s="37"/>
      <c r="H16" s="38"/>
      <c r="I16" s="74"/>
      <c r="K16" s="45">
        <f>'Genel Durum'!J11</f>
        <v>0</v>
      </c>
      <c r="L16" s="45">
        <f>'Genel Durum'!Q11</f>
        <v>0</v>
      </c>
      <c r="M16" s="45">
        <f>'Genel Durum'!AC11</f>
        <v>0</v>
      </c>
      <c r="N16" s="45">
        <f>'Genel Durum'!AO11</f>
        <v>0</v>
      </c>
      <c r="O16" s="45">
        <f>'Genel Durum'!AZ11</f>
        <v>0</v>
      </c>
      <c r="P16" s="45">
        <f>'Genel Durum'!BK11</f>
        <v>0</v>
      </c>
      <c r="Q16" s="56">
        <f t="shared" si="1"/>
        <v>0</v>
      </c>
      <c r="R16" s="56">
        <f t="shared" si="2"/>
        <v>0</v>
      </c>
      <c r="S16" s="56">
        <f t="shared" si="3"/>
        <v>0</v>
      </c>
      <c r="T16" s="56">
        <f t="shared" si="4"/>
        <v>0</v>
      </c>
      <c r="U16" s="56">
        <f t="shared" si="5"/>
        <v>0</v>
      </c>
      <c r="V16" s="56">
        <f t="shared" si="6"/>
        <v>0</v>
      </c>
    </row>
    <row r="17" spans="2:22" x14ac:dyDescent="0.3">
      <c r="B17" s="4">
        <v>10</v>
      </c>
      <c r="C17" s="110"/>
      <c r="D17" s="110"/>
      <c r="E17" s="110"/>
      <c r="F17" s="110"/>
      <c r="G17" s="37"/>
      <c r="H17" s="38"/>
      <c r="I17" s="74"/>
      <c r="K17" s="45">
        <f>'Genel Durum'!J12</f>
        <v>0</v>
      </c>
      <c r="L17" s="45">
        <f>'Genel Durum'!Q12</f>
        <v>0</v>
      </c>
      <c r="M17" s="45">
        <f>'Genel Durum'!AC12</f>
        <v>0</v>
      </c>
      <c r="N17" s="45">
        <f>'Genel Durum'!AO12</f>
        <v>0</v>
      </c>
      <c r="O17" s="45">
        <f>'Genel Durum'!AZ12</f>
        <v>0</v>
      </c>
      <c r="P17" s="45">
        <f>'Genel Durum'!BK12</f>
        <v>0</v>
      </c>
      <c r="Q17" s="56">
        <f t="shared" si="1"/>
        <v>0</v>
      </c>
      <c r="R17" s="56">
        <f t="shared" si="2"/>
        <v>0</v>
      </c>
      <c r="S17" s="56">
        <f t="shared" si="3"/>
        <v>0</v>
      </c>
      <c r="T17" s="56">
        <f t="shared" si="4"/>
        <v>0</v>
      </c>
      <c r="U17" s="56">
        <f t="shared" si="5"/>
        <v>0</v>
      </c>
      <c r="V17" s="56">
        <f t="shared" si="6"/>
        <v>0</v>
      </c>
    </row>
    <row r="18" spans="2:22" ht="15" thickBot="1" x14ac:dyDescent="0.35"/>
    <row r="19" spans="2:22" ht="25.2" customHeight="1" x14ac:dyDescent="0.3">
      <c r="B19" s="113" t="s">
        <v>96</v>
      </c>
      <c r="C19" s="114"/>
      <c r="D19" s="114"/>
      <c r="E19" s="114"/>
      <c r="F19" s="114"/>
      <c r="G19" s="114"/>
      <c r="H19" s="114"/>
      <c r="I19" s="115"/>
    </row>
    <row r="20" spans="2:22" ht="15" customHeight="1" x14ac:dyDescent="0.3">
      <c r="B20" s="94" t="s">
        <v>97</v>
      </c>
      <c r="C20" s="95"/>
      <c r="D20" s="102"/>
      <c r="E20" s="103"/>
      <c r="F20" s="106" t="s">
        <v>98</v>
      </c>
      <c r="G20" s="107"/>
      <c r="H20" s="98"/>
      <c r="I20" s="99"/>
    </row>
    <row r="21" spans="2:22" ht="15" customHeight="1" x14ac:dyDescent="0.3">
      <c r="B21" s="94" t="s">
        <v>99</v>
      </c>
      <c r="C21" s="95"/>
      <c r="D21" s="102"/>
      <c r="E21" s="103"/>
      <c r="F21" s="106" t="s">
        <v>100</v>
      </c>
      <c r="G21" s="107"/>
      <c r="H21" s="98"/>
      <c r="I21" s="99"/>
    </row>
    <row r="22" spans="2:22" ht="15" customHeight="1" thickBot="1" x14ac:dyDescent="0.35">
      <c r="B22" s="108" t="s">
        <v>101</v>
      </c>
      <c r="C22" s="109"/>
      <c r="D22" s="100"/>
      <c r="E22" s="101"/>
      <c r="F22" s="104" t="s">
        <v>102</v>
      </c>
      <c r="G22" s="105"/>
      <c r="H22" s="96"/>
      <c r="I22" s="97"/>
    </row>
    <row r="23" spans="2:22" ht="15" customHeight="1" thickBot="1" x14ac:dyDescent="0.35">
      <c r="B23" s="71"/>
      <c r="C23" s="71"/>
      <c r="D23" s="71"/>
      <c r="E23" s="71"/>
      <c r="F23" s="70"/>
      <c r="G23" s="71"/>
      <c r="H23" s="71"/>
      <c r="I23" s="71"/>
    </row>
    <row r="24" spans="2:22" ht="25.2" customHeight="1" x14ac:dyDescent="0.3">
      <c r="B24" s="155" t="s">
        <v>2</v>
      </c>
      <c r="C24" s="156"/>
      <c r="D24" s="156"/>
      <c r="E24" s="156"/>
      <c r="F24" s="156"/>
      <c r="G24" s="156"/>
      <c r="H24" s="156"/>
      <c r="I24" s="157"/>
    </row>
    <row r="25" spans="2:22" ht="15" customHeight="1" x14ac:dyDescent="0.3">
      <c r="B25" s="94" t="s">
        <v>1</v>
      </c>
      <c r="C25" s="107"/>
      <c r="D25" s="142" t="s">
        <v>0</v>
      </c>
      <c r="E25" s="142"/>
      <c r="F25" s="95" t="s">
        <v>1</v>
      </c>
      <c r="G25" s="107"/>
      <c r="H25" s="106" t="s">
        <v>0</v>
      </c>
      <c r="I25" s="107"/>
    </row>
    <row r="26" spans="2:22" ht="15" customHeight="1" x14ac:dyDescent="0.3">
      <c r="B26" s="137"/>
      <c r="C26" s="138"/>
      <c r="D26" s="139"/>
      <c r="E26" s="138"/>
      <c r="F26" s="110"/>
      <c r="G26" s="110"/>
      <c r="H26" s="140"/>
      <c r="I26" s="141"/>
    </row>
    <row r="27" spans="2:22" ht="15" customHeight="1" x14ac:dyDescent="0.3">
      <c r="B27" s="137"/>
      <c r="C27" s="138"/>
      <c r="D27" s="139"/>
      <c r="E27" s="138"/>
      <c r="F27" s="110"/>
      <c r="G27" s="110"/>
      <c r="H27" s="140"/>
      <c r="I27" s="141"/>
    </row>
    <row r="28" spans="2:22" ht="15" customHeight="1" x14ac:dyDescent="0.3">
      <c r="B28" s="137"/>
      <c r="C28" s="138"/>
      <c r="D28" s="139"/>
      <c r="E28" s="138"/>
      <c r="F28" s="110"/>
      <c r="G28" s="110"/>
      <c r="H28" s="140"/>
      <c r="I28" s="141"/>
    </row>
    <row r="29" spans="2:22" ht="15" customHeight="1" x14ac:dyDescent="0.3">
      <c r="B29" s="137"/>
      <c r="C29" s="138"/>
      <c r="D29" s="139"/>
      <c r="E29" s="138"/>
      <c r="F29" s="110"/>
      <c r="G29" s="110"/>
      <c r="H29" s="140"/>
      <c r="I29" s="141"/>
    </row>
    <row r="30" spans="2:22" ht="15" customHeight="1" thickBot="1" x14ac:dyDescent="0.35">
      <c r="B30" s="162"/>
      <c r="C30" s="163"/>
      <c r="D30" s="164"/>
      <c r="E30" s="163"/>
      <c r="F30" s="165"/>
      <c r="G30" s="165"/>
      <c r="H30" s="111"/>
      <c r="I30" s="112"/>
    </row>
    <row r="31" spans="2:22" ht="15" customHeight="1" x14ac:dyDescent="0.3">
      <c r="B31" s="2"/>
      <c r="C31" s="2"/>
      <c r="D31" s="2"/>
      <c r="E31" s="2"/>
      <c r="F31" s="2"/>
      <c r="H31" s="2"/>
      <c r="I31" s="2"/>
    </row>
    <row r="32" spans="2:22" ht="25.2" customHeight="1" x14ac:dyDescent="0.3">
      <c r="B32" s="169" t="s">
        <v>6</v>
      </c>
      <c r="C32" s="170"/>
      <c r="D32" s="170"/>
      <c r="E32" s="170"/>
      <c r="F32" s="170"/>
      <c r="G32" s="170"/>
      <c r="H32" s="170"/>
      <c r="I32" s="171"/>
    </row>
    <row r="33" spans="2:9" ht="15" customHeight="1" x14ac:dyDescent="0.3">
      <c r="B33" s="166"/>
      <c r="C33" s="167"/>
      <c r="D33" s="167"/>
      <c r="E33" s="167"/>
      <c r="F33" s="167"/>
      <c r="G33" s="167"/>
      <c r="H33" s="167"/>
      <c r="I33" s="168"/>
    </row>
    <row r="34" spans="2:9" ht="15" customHeight="1" x14ac:dyDescent="0.3">
      <c r="B34" s="119"/>
      <c r="C34" s="120"/>
      <c r="D34" s="120"/>
      <c r="E34" s="120"/>
      <c r="F34" s="120"/>
      <c r="G34" s="120"/>
      <c r="H34" s="120"/>
      <c r="I34" s="121"/>
    </row>
    <row r="35" spans="2:9" ht="15" customHeight="1" x14ac:dyDescent="0.3">
      <c r="B35" s="119"/>
      <c r="C35" s="120"/>
      <c r="D35" s="120"/>
      <c r="E35" s="120"/>
      <c r="F35" s="120"/>
      <c r="G35" s="120"/>
      <c r="H35" s="120"/>
      <c r="I35" s="121"/>
    </row>
    <row r="36" spans="2:9" ht="15" customHeight="1" x14ac:dyDescent="0.3">
      <c r="B36" s="119"/>
      <c r="C36" s="120"/>
      <c r="D36" s="120"/>
      <c r="E36" s="120"/>
      <c r="F36" s="120"/>
      <c r="G36" s="120"/>
      <c r="H36" s="120"/>
      <c r="I36" s="121"/>
    </row>
    <row r="37" spans="2:9" ht="15" customHeight="1" x14ac:dyDescent="0.3">
      <c r="B37" s="119"/>
      <c r="C37" s="120"/>
      <c r="D37" s="120"/>
      <c r="E37" s="120"/>
      <c r="F37" s="120"/>
      <c r="G37" s="120"/>
      <c r="H37" s="120"/>
      <c r="I37" s="121"/>
    </row>
    <row r="38" spans="2:9" ht="15" customHeight="1" x14ac:dyDescent="0.3">
      <c r="B38" s="119"/>
      <c r="C38" s="120"/>
      <c r="D38" s="120"/>
      <c r="E38" s="120"/>
      <c r="F38" s="120"/>
      <c r="G38" s="120"/>
      <c r="H38" s="120"/>
      <c r="I38" s="121"/>
    </row>
    <row r="39" spans="2:9" ht="15" customHeight="1" x14ac:dyDescent="0.3">
      <c r="B39" s="119"/>
      <c r="C39" s="120"/>
      <c r="D39" s="120"/>
      <c r="E39" s="120"/>
      <c r="F39" s="120"/>
      <c r="G39" s="120"/>
      <c r="H39" s="120"/>
      <c r="I39" s="121"/>
    </row>
    <row r="40" spans="2:9" ht="15" customHeight="1" x14ac:dyDescent="0.3">
      <c r="B40" s="119"/>
      <c r="C40" s="120"/>
      <c r="D40" s="120"/>
      <c r="E40" s="120"/>
      <c r="F40" s="120"/>
      <c r="G40" s="120"/>
      <c r="H40" s="120"/>
      <c r="I40" s="121"/>
    </row>
    <row r="41" spans="2:9" ht="15" customHeight="1" x14ac:dyDescent="0.3">
      <c r="B41" s="159"/>
      <c r="C41" s="160"/>
      <c r="D41" s="160"/>
      <c r="E41" s="160"/>
      <c r="F41" s="160"/>
      <c r="G41" s="160"/>
      <c r="H41" s="160"/>
      <c r="I41" s="161"/>
    </row>
    <row r="42" spans="2:9" ht="15" customHeight="1" x14ac:dyDescent="0.3">
      <c r="B42" s="2"/>
      <c r="C42" s="2"/>
      <c r="D42" s="2"/>
      <c r="E42" s="2"/>
      <c r="F42" s="2"/>
      <c r="H42" s="2"/>
      <c r="I42" s="2"/>
    </row>
    <row r="43" spans="2:9" ht="15" customHeight="1" x14ac:dyDescent="0.3"/>
    <row r="44" spans="2:9" ht="15" customHeight="1" x14ac:dyDescent="0.3"/>
    <row r="45" spans="2:9" ht="15" customHeight="1" x14ac:dyDescent="0.3"/>
  </sheetData>
  <protectedRanges>
    <protectedRange sqref="D20:E22 H20:I22" name="Aralık4"/>
    <protectedRange sqref="B8:I17" name="Aralık1"/>
    <protectedRange sqref="C4:E5 H4:I5" name="Aralık2"/>
    <protectedRange sqref="B33:I41 B26:I30 F20:I23" name="Aralık3"/>
  </protectedRanges>
  <mergeCells count="69">
    <mergeCell ref="C12:F12"/>
    <mergeCell ref="C1:H1"/>
    <mergeCell ref="D2:I2"/>
    <mergeCell ref="K2:P5"/>
    <mergeCell ref="Q2:V5"/>
    <mergeCell ref="C4:E4"/>
    <mergeCell ref="F4:G4"/>
    <mergeCell ref="H4:I4"/>
    <mergeCell ref="C5:E5"/>
    <mergeCell ref="F5:G5"/>
    <mergeCell ref="H5:I5"/>
    <mergeCell ref="C7:F7"/>
    <mergeCell ref="C8:F8"/>
    <mergeCell ref="C9:F9"/>
    <mergeCell ref="C10:F10"/>
    <mergeCell ref="C11:F11"/>
    <mergeCell ref="B24:I24"/>
    <mergeCell ref="B25:C25"/>
    <mergeCell ref="C13:F13"/>
    <mergeCell ref="C14:F14"/>
    <mergeCell ref="C15:F15"/>
    <mergeCell ref="C16:F16"/>
    <mergeCell ref="C17:F17"/>
    <mergeCell ref="B21:C21"/>
    <mergeCell ref="D21:E21"/>
    <mergeCell ref="F21:G21"/>
    <mergeCell ref="H21:I21"/>
    <mergeCell ref="B22:C22"/>
    <mergeCell ref="D22:E22"/>
    <mergeCell ref="F22:G22"/>
    <mergeCell ref="H22:I22"/>
    <mergeCell ref="B19:I19"/>
    <mergeCell ref="B20:C20"/>
    <mergeCell ref="D20:E20"/>
    <mergeCell ref="F20:G20"/>
    <mergeCell ref="H20:I20"/>
    <mergeCell ref="H28:I28"/>
    <mergeCell ref="H25:I25"/>
    <mergeCell ref="B27:C27"/>
    <mergeCell ref="D27:E27"/>
    <mergeCell ref="F27:G27"/>
    <mergeCell ref="H27:I27"/>
    <mergeCell ref="B26:C26"/>
    <mergeCell ref="D26:E26"/>
    <mergeCell ref="F26:G26"/>
    <mergeCell ref="D25:E25"/>
    <mergeCell ref="F25:G25"/>
    <mergeCell ref="B28:C28"/>
    <mergeCell ref="D28:E28"/>
    <mergeCell ref="F28:G28"/>
    <mergeCell ref="H26:I26"/>
    <mergeCell ref="B29:C29"/>
    <mergeCell ref="D29:E29"/>
    <mergeCell ref="F29:G29"/>
    <mergeCell ref="H29:I29"/>
    <mergeCell ref="B30:C30"/>
    <mergeCell ref="D30:E30"/>
    <mergeCell ref="F30:G30"/>
    <mergeCell ref="H30:I30"/>
    <mergeCell ref="B38:I38"/>
    <mergeCell ref="B39:I39"/>
    <mergeCell ref="B40:I40"/>
    <mergeCell ref="B41:I41"/>
    <mergeCell ref="B32:I32"/>
    <mergeCell ref="B33:I33"/>
    <mergeCell ref="B34:I34"/>
    <mergeCell ref="B35:I35"/>
    <mergeCell ref="B36:I36"/>
    <mergeCell ref="B37:I37"/>
  </mergeCells>
  <conditionalFormatting sqref="Q8:V17">
    <cfRule type="colorScale" priority="2">
      <colorScale>
        <cfvo type="percent" val="0"/>
        <cfvo type="percent" val="2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6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>
    <tabColor theme="9" tint="0.79998168889431442"/>
    <pageSetUpPr fitToPage="1"/>
  </sheetPr>
  <dimension ref="B1:V82"/>
  <sheetViews>
    <sheetView showZeros="0" tabSelected="1" zoomScale="90" zoomScaleNormal="90" workbookViewId="0">
      <selection activeCell="C22" sqref="C22:F22"/>
    </sheetView>
  </sheetViews>
  <sheetFormatPr defaultColWidth="1.6640625" defaultRowHeight="14.4" outlineLevelRow="1" outlineLevelCol="1" x14ac:dyDescent="0.3"/>
  <cols>
    <col min="1" max="1" width="0.6640625" style="1" customWidth="1"/>
    <col min="2" max="6" width="14.33203125" style="1" customWidth="1"/>
    <col min="7" max="7" width="14.33203125" style="3" customWidth="1"/>
    <col min="8" max="9" width="14.33203125" style="1" customWidth="1"/>
    <col min="10" max="10" width="2.88671875" style="1" customWidth="1"/>
    <col min="11" max="16" width="7.6640625" style="3" customWidth="1" outlineLevel="1"/>
    <col min="17" max="17" width="8.88671875" style="1" customWidth="1" outlineLevel="1"/>
    <col min="18" max="22" width="7.6640625" style="1" customWidth="1" outlineLevel="1"/>
    <col min="23" max="50" width="5.6640625" style="1" customWidth="1"/>
    <col min="51" max="16384" width="1.6640625" style="1"/>
  </cols>
  <sheetData>
    <row r="1" spans="2:22" ht="13.95" customHeight="1" x14ac:dyDescent="0.3">
      <c r="C1" s="136"/>
      <c r="D1" s="136"/>
      <c r="E1" s="136"/>
      <c r="F1" s="136"/>
      <c r="G1" s="136"/>
      <c r="H1" s="136"/>
    </row>
    <row r="2" spans="2:22" ht="37.950000000000003" customHeight="1" x14ac:dyDescent="0.3">
      <c r="B2" s="39" t="s">
        <v>76</v>
      </c>
      <c r="C2" s="39"/>
      <c r="D2" s="116" t="s">
        <v>76</v>
      </c>
      <c r="E2" s="117"/>
      <c r="F2" s="117"/>
      <c r="G2" s="117"/>
      <c r="H2" s="117"/>
      <c r="I2" s="118"/>
      <c r="K2" s="143" t="s">
        <v>94</v>
      </c>
      <c r="L2" s="144"/>
      <c r="M2" s="144"/>
      <c r="N2" s="144"/>
      <c r="O2" s="144"/>
      <c r="P2" s="145"/>
      <c r="Q2" s="143" t="s">
        <v>95</v>
      </c>
      <c r="R2" s="144"/>
      <c r="S2" s="144"/>
      <c r="T2" s="144"/>
      <c r="U2" s="144"/>
      <c r="V2" s="145"/>
    </row>
    <row r="3" spans="2:22" ht="8.4" customHeight="1" x14ac:dyDescent="0.3">
      <c r="B3" s="40"/>
      <c r="C3" s="40"/>
      <c r="D3" s="40"/>
      <c r="E3" s="41"/>
      <c r="F3" s="41"/>
      <c r="G3" s="41"/>
      <c r="H3" s="41"/>
      <c r="I3" s="40"/>
      <c r="K3" s="146"/>
      <c r="L3" s="147"/>
      <c r="M3" s="147"/>
      <c r="N3" s="147"/>
      <c r="O3" s="147"/>
      <c r="P3" s="148"/>
      <c r="Q3" s="146"/>
      <c r="R3" s="147"/>
      <c r="S3" s="147"/>
      <c r="T3" s="147"/>
      <c r="U3" s="147"/>
      <c r="V3" s="148"/>
    </row>
    <row r="4" spans="2:22" ht="19.95" customHeight="1" x14ac:dyDescent="0.3">
      <c r="B4" s="43" t="s">
        <v>79</v>
      </c>
      <c r="C4" s="154"/>
      <c r="D4" s="154"/>
      <c r="E4" s="154"/>
      <c r="F4" s="122" t="s">
        <v>77</v>
      </c>
      <c r="G4" s="122"/>
      <c r="H4" s="152"/>
      <c r="I4" s="153"/>
      <c r="K4" s="146"/>
      <c r="L4" s="147"/>
      <c r="M4" s="147"/>
      <c r="N4" s="147"/>
      <c r="O4" s="147"/>
      <c r="P4" s="148"/>
      <c r="Q4" s="146"/>
      <c r="R4" s="147"/>
      <c r="S4" s="147"/>
      <c r="T4" s="147"/>
      <c r="U4" s="147"/>
      <c r="V4" s="148"/>
    </row>
    <row r="5" spans="2:22" ht="19.95" customHeight="1" x14ac:dyDescent="0.3">
      <c r="B5" s="43" t="s">
        <v>75</v>
      </c>
      <c r="C5" s="154"/>
      <c r="D5" s="154"/>
      <c r="E5" s="154"/>
      <c r="F5" s="122" t="s">
        <v>78</v>
      </c>
      <c r="G5" s="122"/>
      <c r="H5" s="152"/>
      <c r="I5" s="152"/>
      <c r="K5" s="149"/>
      <c r="L5" s="150"/>
      <c r="M5" s="150"/>
      <c r="N5" s="150"/>
      <c r="O5" s="150"/>
      <c r="P5" s="151"/>
      <c r="Q5" s="149"/>
      <c r="R5" s="150"/>
      <c r="S5" s="150"/>
      <c r="T5" s="150"/>
      <c r="U5" s="150"/>
      <c r="V5" s="151"/>
    </row>
    <row r="6" spans="2:22" ht="15" customHeight="1" x14ac:dyDescent="0.3">
      <c r="Q6" s="3"/>
      <c r="R6" s="3"/>
      <c r="S6" s="3"/>
      <c r="T6" s="3"/>
      <c r="U6" s="3"/>
      <c r="V6" s="3"/>
    </row>
    <row r="7" spans="2:22" s="3" customFormat="1" ht="15" customHeight="1" x14ac:dyDescent="0.3">
      <c r="B7" s="42" t="s">
        <v>80</v>
      </c>
      <c r="C7" s="158" t="s">
        <v>81</v>
      </c>
      <c r="D7" s="158"/>
      <c r="E7" s="158"/>
      <c r="F7" s="158"/>
      <c r="G7" s="42" t="s">
        <v>1</v>
      </c>
      <c r="H7" s="42" t="s">
        <v>5</v>
      </c>
      <c r="I7" s="42" t="s">
        <v>82</v>
      </c>
      <c r="K7" s="45" t="s">
        <v>89</v>
      </c>
      <c r="L7" s="45" t="s">
        <v>84</v>
      </c>
      <c r="M7" s="45" t="s">
        <v>90</v>
      </c>
      <c r="N7" s="45" t="s">
        <v>91</v>
      </c>
      <c r="O7" s="45" t="s">
        <v>92</v>
      </c>
      <c r="P7" s="45" t="s">
        <v>93</v>
      </c>
      <c r="Q7" s="45" t="s">
        <v>89</v>
      </c>
      <c r="R7" s="45" t="s">
        <v>84</v>
      </c>
      <c r="S7" s="45" t="s">
        <v>90</v>
      </c>
      <c r="T7" s="45" t="s">
        <v>91</v>
      </c>
      <c r="U7" s="45" t="s">
        <v>92</v>
      </c>
      <c r="V7" s="45" t="s">
        <v>93</v>
      </c>
    </row>
    <row r="8" spans="2:22" ht="15" customHeight="1" x14ac:dyDescent="0.3">
      <c r="B8" s="82">
        <v>1</v>
      </c>
      <c r="C8" s="123"/>
      <c r="D8" s="123"/>
      <c r="E8" s="123"/>
      <c r="F8" s="123"/>
      <c r="G8" s="37"/>
      <c r="H8" s="38"/>
      <c r="I8" s="72"/>
      <c r="K8" s="45">
        <f>'Genel Durum'!J3</f>
        <v>0</v>
      </c>
      <c r="L8" s="45">
        <f>'Genel Durum'!Q3</f>
        <v>0</v>
      </c>
      <c r="M8" s="45">
        <f>'Genel Durum'!AC3</f>
        <v>0</v>
      </c>
      <c r="N8" s="45">
        <f>'Genel Durum'!AO3</f>
        <v>0</v>
      </c>
      <c r="O8" s="45">
        <f>'Genel Durum'!AZ3</f>
        <v>0</v>
      </c>
      <c r="P8" s="45">
        <f>'Genel Durum'!BK3</f>
        <v>0</v>
      </c>
      <c r="Q8" s="56">
        <f>IFERROR(K8/$I8,0)</f>
        <v>0</v>
      </c>
      <c r="R8" s="56">
        <f t="shared" ref="R8:V8" si="0">IFERROR(L8/$I8,0)</f>
        <v>0</v>
      </c>
      <c r="S8" s="56">
        <f t="shared" si="0"/>
        <v>0</v>
      </c>
      <c r="T8" s="56">
        <f t="shared" si="0"/>
        <v>0</v>
      </c>
      <c r="U8" s="56">
        <f t="shared" si="0"/>
        <v>0</v>
      </c>
      <c r="V8" s="56">
        <f t="shared" si="0"/>
        <v>0</v>
      </c>
    </row>
    <row r="9" spans="2:22" ht="15" customHeight="1" x14ac:dyDescent="0.3">
      <c r="B9" s="82">
        <v>2</v>
      </c>
      <c r="C9" s="123"/>
      <c r="D9" s="123"/>
      <c r="E9" s="123"/>
      <c r="F9" s="123"/>
      <c r="G9" s="37"/>
      <c r="H9" s="38"/>
      <c r="I9" s="72"/>
      <c r="K9" s="45">
        <f>'Genel Durum'!J4</f>
        <v>0</v>
      </c>
      <c r="L9" s="45">
        <f>'Genel Durum'!Q4</f>
        <v>0</v>
      </c>
      <c r="M9" s="45">
        <f>'Genel Durum'!AC4</f>
        <v>0</v>
      </c>
      <c r="N9" s="45">
        <f>'Genel Durum'!AO4</f>
        <v>0</v>
      </c>
      <c r="O9" s="45">
        <f>'Genel Durum'!AZ4</f>
        <v>0</v>
      </c>
      <c r="P9" s="45">
        <f>'Genel Durum'!BK4</f>
        <v>0</v>
      </c>
      <c r="Q9" s="56">
        <f t="shared" ref="Q9:Q37" si="1">IFERROR(K9/$I9,0)</f>
        <v>0</v>
      </c>
      <c r="R9" s="56">
        <f t="shared" ref="R9:R37" si="2">IFERROR(L9/$I9,0)</f>
        <v>0</v>
      </c>
      <c r="S9" s="56">
        <f t="shared" ref="S9:S37" si="3">IFERROR(M9/$I9,0)</f>
        <v>0</v>
      </c>
      <c r="T9" s="56">
        <f t="shared" ref="T9:T37" si="4">IFERROR(N9/$I9,0)</f>
        <v>0</v>
      </c>
      <c r="U9" s="56">
        <f t="shared" ref="U9:U37" si="5">IFERROR(O9/$I9,0)</f>
        <v>0</v>
      </c>
      <c r="V9" s="56">
        <f t="shared" ref="V9:V37" si="6">IFERROR(P9/$I9,0)</f>
        <v>0</v>
      </c>
    </row>
    <row r="10" spans="2:22" ht="15" customHeight="1" x14ac:dyDescent="0.3">
      <c r="B10" s="82">
        <v>3</v>
      </c>
      <c r="C10" s="123"/>
      <c r="D10" s="123"/>
      <c r="E10" s="123"/>
      <c r="F10" s="123"/>
      <c r="G10" s="37"/>
      <c r="H10" s="38"/>
      <c r="I10" s="72"/>
      <c r="K10" s="45">
        <f>'Genel Durum'!J5</f>
        <v>0</v>
      </c>
      <c r="L10" s="45">
        <f>'Genel Durum'!Q5</f>
        <v>0</v>
      </c>
      <c r="M10" s="45">
        <f>'Genel Durum'!AC5</f>
        <v>0</v>
      </c>
      <c r="N10" s="45">
        <f>'Genel Durum'!AO5</f>
        <v>0</v>
      </c>
      <c r="O10" s="45">
        <f>'Genel Durum'!AZ5</f>
        <v>0</v>
      </c>
      <c r="P10" s="45">
        <f>'Genel Durum'!BK5</f>
        <v>0</v>
      </c>
      <c r="Q10" s="56">
        <f t="shared" si="1"/>
        <v>0</v>
      </c>
      <c r="R10" s="56">
        <f t="shared" si="2"/>
        <v>0</v>
      </c>
      <c r="S10" s="56">
        <f t="shared" si="3"/>
        <v>0</v>
      </c>
      <c r="T10" s="56">
        <f t="shared" si="4"/>
        <v>0</v>
      </c>
      <c r="U10" s="56">
        <f t="shared" si="5"/>
        <v>0</v>
      </c>
      <c r="V10" s="56">
        <f t="shared" si="6"/>
        <v>0</v>
      </c>
    </row>
    <row r="11" spans="2:22" ht="15" customHeight="1" x14ac:dyDescent="0.3">
      <c r="B11" s="82">
        <v>4</v>
      </c>
      <c r="C11" s="123"/>
      <c r="D11" s="123"/>
      <c r="E11" s="123"/>
      <c r="F11" s="123"/>
      <c r="G11" s="37"/>
      <c r="H11" s="38"/>
      <c r="I11" s="72"/>
      <c r="K11" s="45">
        <f>'Genel Durum'!J6</f>
        <v>0</v>
      </c>
      <c r="L11" s="45">
        <f>'Genel Durum'!Q6</f>
        <v>0</v>
      </c>
      <c r="M11" s="45">
        <f>'Genel Durum'!AC6</f>
        <v>0</v>
      </c>
      <c r="N11" s="45">
        <f>'Genel Durum'!AO6</f>
        <v>0</v>
      </c>
      <c r="O11" s="45">
        <f>'Genel Durum'!AZ6</f>
        <v>0</v>
      </c>
      <c r="P11" s="45">
        <f>'Genel Durum'!BK6</f>
        <v>0</v>
      </c>
      <c r="Q11" s="56">
        <f t="shared" si="1"/>
        <v>0</v>
      </c>
      <c r="R11" s="56">
        <f t="shared" si="2"/>
        <v>0</v>
      </c>
      <c r="S11" s="56">
        <f t="shared" si="3"/>
        <v>0</v>
      </c>
      <c r="T11" s="56">
        <f t="shared" si="4"/>
        <v>0</v>
      </c>
      <c r="U11" s="56">
        <f t="shared" si="5"/>
        <v>0</v>
      </c>
      <c r="V11" s="56">
        <f t="shared" si="6"/>
        <v>0</v>
      </c>
    </row>
    <row r="12" spans="2:22" ht="15" customHeight="1" x14ac:dyDescent="0.3">
      <c r="B12" s="82">
        <v>5</v>
      </c>
      <c r="C12" s="123"/>
      <c r="D12" s="123"/>
      <c r="E12" s="123"/>
      <c r="F12" s="123"/>
      <c r="G12" s="37"/>
      <c r="H12" s="73"/>
      <c r="I12" s="72"/>
      <c r="K12" s="45">
        <f>'Genel Durum'!J7</f>
        <v>0</v>
      </c>
      <c r="L12" s="45">
        <f>'Genel Durum'!Q7</f>
        <v>0</v>
      </c>
      <c r="M12" s="45">
        <f>'Genel Durum'!AC7</f>
        <v>0</v>
      </c>
      <c r="N12" s="45">
        <f>'Genel Durum'!AO7</f>
        <v>0</v>
      </c>
      <c r="O12" s="45">
        <f>'Genel Durum'!AZ7</f>
        <v>0</v>
      </c>
      <c r="P12" s="45">
        <f>'Genel Durum'!BK7</f>
        <v>0</v>
      </c>
      <c r="Q12" s="56">
        <f t="shared" si="1"/>
        <v>0</v>
      </c>
      <c r="R12" s="56">
        <f t="shared" si="2"/>
        <v>0</v>
      </c>
      <c r="S12" s="56">
        <f t="shared" si="3"/>
        <v>0</v>
      </c>
      <c r="T12" s="56">
        <f t="shared" si="4"/>
        <v>0</v>
      </c>
      <c r="U12" s="56">
        <f t="shared" si="5"/>
        <v>0</v>
      </c>
      <c r="V12" s="56">
        <f t="shared" si="6"/>
        <v>0</v>
      </c>
    </row>
    <row r="13" spans="2:22" ht="15" customHeight="1" x14ac:dyDescent="0.3">
      <c r="B13" s="82">
        <v>6</v>
      </c>
      <c r="C13" s="123"/>
      <c r="D13" s="123"/>
      <c r="E13" s="123"/>
      <c r="F13" s="123"/>
      <c r="G13" s="37"/>
      <c r="H13" s="73"/>
      <c r="I13" s="72"/>
      <c r="K13" s="45">
        <f>'Genel Durum'!J8</f>
        <v>0</v>
      </c>
      <c r="L13" s="45">
        <f>'Genel Durum'!Q8</f>
        <v>0</v>
      </c>
      <c r="M13" s="45">
        <f>'Genel Durum'!AC8</f>
        <v>0</v>
      </c>
      <c r="N13" s="45">
        <f>'Genel Durum'!AO8</f>
        <v>0</v>
      </c>
      <c r="O13" s="45">
        <f>'Genel Durum'!AZ8</f>
        <v>0</v>
      </c>
      <c r="P13" s="45">
        <f>'Genel Durum'!BK8</f>
        <v>0</v>
      </c>
      <c r="Q13" s="56">
        <f t="shared" si="1"/>
        <v>0</v>
      </c>
      <c r="R13" s="56">
        <f t="shared" si="2"/>
        <v>0</v>
      </c>
      <c r="S13" s="56">
        <f t="shared" si="3"/>
        <v>0</v>
      </c>
      <c r="T13" s="56">
        <f t="shared" si="4"/>
        <v>0</v>
      </c>
      <c r="U13" s="56">
        <f t="shared" si="5"/>
        <v>0</v>
      </c>
      <c r="V13" s="56">
        <f t="shared" si="6"/>
        <v>0</v>
      </c>
    </row>
    <row r="14" spans="2:22" ht="15" customHeight="1" x14ac:dyDescent="0.3">
      <c r="B14" s="82">
        <v>7</v>
      </c>
      <c r="C14" s="123"/>
      <c r="D14" s="123"/>
      <c r="E14" s="123"/>
      <c r="F14" s="123"/>
      <c r="G14" s="37"/>
      <c r="H14" s="73"/>
      <c r="I14" s="72"/>
      <c r="K14" s="45">
        <f>'Genel Durum'!J9</f>
        <v>0</v>
      </c>
      <c r="L14" s="45">
        <f>'Genel Durum'!Q9</f>
        <v>0</v>
      </c>
      <c r="M14" s="45">
        <f>'Genel Durum'!AC9</f>
        <v>0</v>
      </c>
      <c r="N14" s="45">
        <f>'Genel Durum'!AO9</f>
        <v>0</v>
      </c>
      <c r="O14" s="45">
        <f>'Genel Durum'!AZ9</f>
        <v>0</v>
      </c>
      <c r="P14" s="45">
        <f>'Genel Durum'!BK9</f>
        <v>0</v>
      </c>
      <c r="Q14" s="56">
        <f t="shared" si="1"/>
        <v>0</v>
      </c>
      <c r="R14" s="56">
        <f t="shared" si="2"/>
        <v>0</v>
      </c>
      <c r="S14" s="56">
        <f t="shared" si="3"/>
        <v>0</v>
      </c>
      <c r="T14" s="56">
        <f t="shared" si="4"/>
        <v>0</v>
      </c>
      <c r="U14" s="56">
        <f t="shared" si="5"/>
        <v>0</v>
      </c>
      <c r="V14" s="56">
        <f t="shared" si="6"/>
        <v>0</v>
      </c>
    </row>
    <row r="15" spans="2:22" ht="15" customHeight="1" x14ac:dyDescent="0.3">
      <c r="B15" s="82">
        <v>8</v>
      </c>
      <c r="C15" s="123"/>
      <c r="D15" s="123"/>
      <c r="E15" s="123"/>
      <c r="F15" s="123"/>
      <c r="G15" s="37"/>
      <c r="H15" s="73"/>
      <c r="I15" s="72"/>
      <c r="K15" s="45">
        <f>'Genel Durum'!J10</f>
        <v>0</v>
      </c>
      <c r="L15" s="45">
        <f>'Genel Durum'!Q10</f>
        <v>0</v>
      </c>
      <c r="M15" s="45">
        <f>'Genel Durum'!AC10</f>
        <v>0</v>
      </c>
      <c r="N15" s="45">
        <f>'Genel Durum'!AO10</f>
        <v>0</v>
      </c>
      <c r="O15" s="45">
        <f>'Genel Durum'!AZ10</f>
        <v>0</v>
      </c>
      <c r="P15" s="45">
        <f>'Genel Durum'!BK10</f>
        <v>0</v>
      </c>
      <c r="Q15" s="56">
        <f t="shared" si="1"/>
        <v>0</v>
      </c>
      <c r="R15" s="56">
        <f t="shared" si="2"/>
        <v>0</v>
      </c>
      <c r="S15" s="56">
        <f t="shared" si="3"/>
        <v>0</v>
      </c>
      <c r="T15" s="56">
        <f t="shared" si="4"/>
        <v>0</v>
      </c>
      <c r="U15" s="56">
        <f t="shared" si="5"/>
        <v>0</v>
      </c>
      <c r="V15" s="56">
        <f t="shared" si="6"/>
        <v>0</v>
      </c>
    </row>
    <row r="16" spans="2:22" ht="15" customHeight="1" x14ac:dyDescent="0.3">
      <c r="B16" s="82">
        <v>9</v>
      </c>
      <c r="C16" s="124"/>
      <c r="D16" s="124"/>
      <c r="E16" s="124"/>
      <c r="F16" s="124"/>
      <c r="G16" s="37"/>
      <c r="H16" s="38"/>
      <c r="I16" s="72"/>
      <c r="K16" s="45">
        <f>'Genel Durum'!J11</f>
        <v>0</v>
      </c>
      <c r="L16" s="45">
        <f>'Genel Durum'!Q11</f>
        <v>0</v>
      </c>
      <c r="M16" s="45">
        <f>'Genel Durum'!AC11</f>
        <v>0</v>
      </c>
      <c r="N16" s="45">
        <f>'Genel Durum'!AO11</f>
        <v>0</v>
      </c>
      <c r="O16" s="45">
        <f>'Genel Durum'!AZ11</f>
        <v>0</v>
      </c>
      <c r="P16" s="45">
        <f>'Genel Durum'!BK11</f>
        <v>0</v>
      </c>
      <c r="Q16" s="56">
        <f t="shared" si="1"/>
        <v>0</v>
      </c>
      <c r="R16" s="56">
        <f t="shared" si="2"/>
        <v>0</v>
      </c>
      <c r="S16" s="56">
        <f t="shared" si="3"/>
        <v>0</v>
      </c>
      <c r="T16" s="56">
        <f t="shared" si="4"/>
        <v>0</v>
      </c>
      <c r="U16" s="56">
        <f t="shared" si="5"/>
        <v>0</v>
      </c>
      <c r="V16" s="56">
        <f t="shared" si="6"/>
        <v>0</v>
      </c>
    </row>
    <row r="17" spans="2:22" ht="15" customHeight="1" x14ac:dyDescent="0.3">
      <c r="B17" s="4">
        <v>10</v>
      </c>
      <c r="C17" s="124"/>
      <c r="D17" s="124"/>
      <c r="E17" s="124"/>
      <c r="F17" s="124"/>
      <c r="G17" s="37"/>
      <c r="H17" s="38"/>
      <c r="I17" s="72"/>
      <c r="K17" s="45">
        <f>'Genel Durum'!J12</f>
        <v>0</v>
      </c>
      <c r="L17" s="45">
        <f>'Genel Durum'!Q12</f>
        <v>0</v>
      </c>
      <c r="M17" s="45">
        <f>'Genel Durum'!AC12</f>
        <v>0</v>
      </c>
      <c r="N17" s="45">
        <f>'Genel Durum'!AO12</f>
        <v>0</v>
      </c>
      <c r="O17" s="45">
        <f>'Genel Durum'!AZ12</f>
        <v>0</v>
      </c>
      <c r="P17" s="45">
        <f>'Genel Durum'!BK12</f>
        <v>0</v>
      </c>
      <c r="Q17" s="56">
        <f t="shared" si="1"/>
        <v>0</v>
      </c>
      <c r="R17" s="56">
        <f t="shared" si="2"/>
        <v>0</v>
      </c>
      <c r="S17" s="56">
        <f t="shared" si="3"/>
        <v>0</v>
      </c>
      <c r="T17" s="56">
        <f t="shared" si="4"/>
        <v>0</v>
      </c>
      <c r="U17" s="56">
        <f t="shared" si="5"/>
        <v>0</v>
      </c>
      <c r="V17" s="56">
        <f t="shared" si="6"/>
        <v>0</v>
      </c>
    </row>
    <row r="18" spans="2:22" ht="15" customHeight="1" outlineLevel="1" x14ac:dyDescent="0.3">
      <c r="B18" s="4">
        <v>11</v>
      </c>
      <c r="C18" s="124"/>
      <c r="D18" s="124"/>
      <c r="E18" s="124"/>
      <c r="F18" s="124"/>
      <c r="G18" s="37"/>
      <c r="H18" s="38"/>
      <c r="I18" s="74"/>
      <c r="K18" s="45">
        <f>'Genel Durum'!J13</f>
        <v>0</v>
      </c>
      <c r="L18" s="45">
        <f>'Genel Durum'!Q13</f>
        <v>0</v>
      </c>
      <c r="M18" s="45">
        <f>'Genel Durum'!AC13</f>
        <v>0</v>
      </c>
      <c r="N18" s="45">
        <f>'Genel Durum'!AO13</f>
        <v>0</v>
      </c>
      <c r="O18" s="45">
        <f>'Genel Durum'!AZ13</f>
        <v>0</v>
      </c>
      <c r="P18" s="45">
        <f>'Genel Durum'!BK13</f>
        <v>0</v>
      </c>
      <c r="Q18" s="56">
        <f t="shared" si="1"/>
        <v>0</v>
      </c>
      <c r="R18" s="56">
        <f t="shared" si="2"/>
        <v>0</v>
      </c>
      <c r="S18" s="56">
        <f t="shared" si="3"/>
        <v>0</v>
      </c>
      <c r="T18" s="56">
        <f t="shared" si="4"/>
        <v>0</v>
      </c>
      <c r="U18" s="56">
        <f t="shared" si="5"/>
        <v>0</v>
      </c>
      <c r="V18" s="56">
        <f t="shared" si="6"/>
        <v>0</v>
      </c>
    </row>
    <row r="19" spans="2:22" ht="15" customHeight="1" outlineLevel="1" x14ac:dyDescent="0.3">
      <c r="B19" s="4">
        <v>12</v>
      </c>
      <c r="C19" s="124"/>
      <c r="D19" s="124"/>
      <c r="E19" s="124"/>
      <c r="F19" s="124"/>
      <c r="G19" s="37"/>
      <c r="H19" s="38"/>
      <c r="I19" s="74"/>
      <c r="K19" s="45">
        <f>'Genel Durum'!J14</f>
        <v>0</v>
      </c>
      <c r="L19" s="45">
        <f>'Genel Durum'!Q14</f>
        <v>0</v>
      </c>
      <c r="M19" s="45">
        <f>'Genel Durum'!AC14</f>
        <v>0</v>
      </c>
      <c r="N19" s="45">
        <f>'Genel Durum'!AO14</f>
        <v>0</v>
      </c>
      <c r="O19" s="45">
        <f>'Genel Durum'!AZ14</f>
        <v>0</v>
      </c>
      <c r="P19" s="45">
        <f>'Genel Durum'!BK14</f>
        <v>0</v>
      </c>
      <c r="Q19" s="56">
        <f t="shared" si="1"/>
        <v>0</v>
      </c>
      <c r="R19" s="56">
        <f t="shared" si="2"/>
        <v>0</v>
      </c>
      <c r="S19" s="56">
        <f t="shared" si="3"/>
        <v>0</v>
      </c>
      <c r="T19" s="56">
        <f t="shared" si="4"/>
        <v>0</v>
      </c>
      <c r="U19" s="56">
        <f t="shared" si="5"/>
        <v>0</v>
      </c>
      <c r="V19" s="56">
        <f t="shared" si="6"/>
        <v>0</v>
      </c>
    </row>
    <row r="20" spans="2:22" ht="15" customHeight="1" outlineLevel="1" x14ac:dyDescent="0.3">
      <c r="B20" s="4">
        <v>13</v>
      </c>
      <c r="C20" s="124"/>
      <c r="D20" s="124"/>
      <c r="E20" s="124"/>
      <c r="F20" s="124"/>
      <c r="G20" s="37"/>
      <c r="H20" s="38"/>
      <c r="I20" s="74"/>
      <c r="K20" s="45">
        <f>'Genel Durum'!J15</f>
        <v>0</v>
      </c>
      <c r="L20" s="45">
        <f>'Genel Durum'!Q15</f>
        <v>0</v>
      </c>
      <c r="M20" s="45">
        <f>'Genel Durum'!AC15</f>
        <v>0</v>
      </c>
      <c r="N20" s="45">
        <f>'Genel Durum'!AO15</f>
        <v>0</v>
      </c>
      <c r="O20" s="45">
        <f>'Genel Durum'!AZ15</f>
        <v>0</v>
      </c>
      <c r="P20" s="45">
        <f>'Genel Durum'!BK15</f>
        <v>0</v>
      </c>
      <c r="Q20" s="56">
        <f t="shared" si="1"/>
        <v>0</v>
      </c>
      <c r="R20" s="56">
        <f t="shared" si="2"/>
        <v>0</v>
      </c>
      <c r="S20" s="56">
        <f t="shared" si="3"/>
        <v>0</v>
      </c>
      <c r="T20" s="56">
        <f t="shared" si="4"/>
        <v>0</v>
      </c>
      <c r="U20" s="56">
        <f t="shared" si="5"/>
        <v>0</v>
      </c>
      <c r="V20" s="56">
        <f t="shared" si="6"/>
        <v>0</v>
      </c>
    </row>
    <row r="21" spans="2:22" ht="15" customHeight="1" outlineLevel="1" x14ac:dyDescent="0.3">
      <c r="B21" s="4">
        <v>14</v>
      </c>
      <c r="C21" s="124"/>
      <c r="D21" s="124"/>
      <c r="E21" s="124"/>
      <c r="F21" s="124"/>
      <c r="G21" s="37"/>
      <c r="H21" s="38"/>
      <c r="I21" s="74"/>
      <c r="K21" s="45">
        <f>'Genel Durum'!J16</f>
        <v>0</v>
      </c>
      <c r="L21" s="45">
        <f>'Genel Durum'!Q16</f>
        <v>0</v>
      </c>
      <c r="M21" s="45">
        <f>'Genel Durum'!AC16</f>
        <v>0</v>
      </c>
      <c r="N21" s="45">
        <f>'Genel Durum'!AO16</f>
        <v>0</v>
      </c>
      <c r="O21" s="45">
        <f>'Genel Durum'!AZ16</f>
        <v>0</v>
      </c>
      <c r="P21" s="45">
        <f>'Genel Durum'!BK16</f>
        <v>0</v>
      </c>
      <c r="Q21" s="56">
        <f t="shared" si="1"/>
        <v>0</v>
      </c>
      <c r="R21" s="56">
        <f t="shared" si="2"/>
        <v>0</v>
      </c>
      <c r="S21" s="56">
        <f t="shared" si="3"/>
        <v>0</v>
      </c>
      <c r="T21" s="56">
        <f t="shared" si="4"/>
        <v>0</v>
      </c>
      <c r="U21" s="56">
        <f t="shared" si="5"/>
        <v>0</v>
      </c>
      <c r="V21" s="56">
        <f t="shared" si="6"/>
        <v>0</v>
      </c>
    </row>
    <row r="22" spans="2:22" ht="15" customHeight="1" outlineLevel="1" x14ac:dyDescent="0.3">
      <c r="B22" s="4">
        <v>15</v>
      </c>
      <c r="C22" s="124"/>
      <c r="D22" s="124"/>
      <c r="E22" s="124"/>
      <c r="F22" s="124"/>
      <c r="G22" s="37"/>
      <c r="H22" s="38"/>
      <c r="I22" s="74"/>
      <c r="K22" s="45">
        <f>'Genel Durum'!J17</f>
        <v>0</v>
      </c>
      <c r="L22" s="45">
        <f>'Genel Durum'!Q17</f>
        <v>0</v>
      </c>
      <c r="M22" s="45">
        <f>'Genel Durum'!AC17</f>
        <v>0</v>
      </c>
      <c r="N22" s="45">
        <f>'Genel Durum'!AO17</f>
        <v>0</v>
      </c>
      <c r="O22" s="45">
        <f>'Genel Durum'!AZ17</f>
        <v>0</v>
      </c>
      <c r="P22" s="45">
        <f>'Genel Durum'!BK17</f>
        <v>0</v>
      </c>
      <c r="Q22" s="56">
        <f t="shared" si="1"/>
        <v>0</v>
      </c>
      <c r="R22" s="56">
        <f t="shared" si="2"/>
        <v>0</v>
      </c>
      <c r="S22" s="56">
        <f t="shared" si="3"/>
        <v>0</v>
      </c>
      <c r="T22" s="56">
        <f t="shared" si="4"/>
        <v>0</v>
      </c>
      <c r="U22" s="56">
        <f t="shared" si="5"/>
        <v>0</v>
      </c>
      <c r="V22" s="56">
        <f t="shared" si="6"/>
        <v>0</v>
      </c>
    </row>
    <row r="23" spans="2:22" ht="15" customHeight="1" outlineLevel="1" x14ac:dyDescent="0.3">
      <c r="B23" s="4">
        <v>16</v>
      </c>
      <c r="C23" s="124"/>
      <c r="D23" s="124"/>
      <c r="E23" s="124"/>
      <c r="F23" s="124"/>
      <c r="G23" s="37"/>
      <c r="H23" s="38"/>
      <c r="I23" s="74"/>
      <c r="K23" s="45">
        <f>'Genel Durum'!J18</f>
        <v>0</v>
      </c>
      <c r="L23" s="45">
        <f>'Genel Durum'!Q18</f>
        <v>0</v>
      </c>
      <c r="M23" s="45">
        <f>'Genel Durum'!AC18</f>
        <v>0</v>
      </c>
      <c r="N23" s="45">
        <f>'Genel Durum'!AO18</f>
        <v>0</v>
      </c>
      <c r="O23" s="45">
        <f>'Genel Durum'!AZ18</f>
        <v>0</v>
      </c>
      <c r="P23" s="45">
        <f>'Genel Durum'!BK18</f>
        <v>0</v>
      </c>
      <c r="Q23" s="56">
        <f t="shared" si="1"/>
        <v>0</v>
      </c>
      <c r="R23" s="56">
        <f t="shared" si="2"/>
        <v>0</v>
      </c>
      <c r="S23" s="56">
        <f t="shared" si="3"/>
        <v>0</v>
      </c>
      <c r="T23" s="56">
        <f t="shared" si="4"/>
        <v>0</v>
      </c>
      <c r="U23" s="56">
        <f t="shared" si="5"/>
        <v>0</v>
      </c>
      <c r="V23" s="56">
        <f t="shared" si="6"/>
        <v>0</v>
      </c>
    </row>
    <row r="24" spans="2:22" ht="15" customHeight="1" outlineLevel="1" x14ac:dyDescent="0.3">
      <c r="B24" s="4">
        <v>17</v>
      </c>
      <c r="C24" s="124"/>
      <c r="D24" s="124"/>
      <c r="E24" s="124"/>
      <c r="F24" s="124"/>
      <c r="G24" s="37"/>
      <c r="H24" s="38"/>
      <c r="I24" s="74"/>
      <c r="K24" s="45">
        <f>'Genel Durum'!J19</f>
        <v>0</v>
      </c>
      <c r="L24" s="45">
        <f>'Genel Durum'!Q19</f>
        <v>0</v>
      </c>
      <c r="M24" s="45">
        <f>'Genel Durum'!AC19</f>
        <v>0</v>
      </c>
      <c r="N24" s="45">
        <f>'Genel Durum'!AO19</f>
        <v>0</v>
      </c>
      <c r="O24" s="45">
        <f>'Genel Durum'!AZ19</f>
        <v>0</v>
      </c>
      <c r="P24" s="45">
        <f>'Genel Durum'!BK19</f>
        <v>0</v>
      </c>
      <c r="Q24" s="56">
        <f t="shared" si="1"/>
        <v>0</v>
      </c>
      <c r="R24" s="56">
        <f t="shared" si="2"/>
        <v>0</v>
      </c>
      <c r="S24" s="56">
        <f t="shared" si="3"/>
        <v>0</v>
      </c>
      <c r="T24" s="56">
        <f t="shared" si="4"/>
        <v>0</v>
      </c>
      <c r="U24" s="56">
        <f t="shared" si="5"/>
        <v>0</v>
      </c>
      <c r="V24" s="56">
        <f t="shared" si="6"/>
        <v>0</v>
      </c>
    </row>
    <row r="25" spans="2:22" ht="15" customHeight="1" outlineLevel="1" x14ac:dyDescent="0.3">
      <c r="B25" s="4">
        <v>18</v>
      </c>
      <c r="C25" s="124"/>
      <c r="D25" s="124"/>
      <c r="E25" s="124"/>
      <c r="F25" s="124"/>
      <c r="G25" s="37"/>
      <c r="H25" s="38"/>
      <c r="I25" s="74"/>
      <c r="K25" s="45">
        <f>'Genel Durum'!J20</f>
        <v>0</v>
      </c>
      <c r="L25" s="45">
        <f>'Genel Durum'!Q20</f>
        <v>0</v>
      </c>
      <c r="M25" s="45">
        <f>'Genel Durum'!AC20</f>
        <v>0</v>
      </c>
      <c r="N25" s="45">
        <f>'Genel Durum'!AO20</f>
        <v>0</v>
      </c>
      <c r="O25" s="45">
        <f>'Genel Durum'!AZ20</f>
        <v>0</v>
      </c>
      <c r="P25" s="45">
        <f>'Genel Durum'!BK20</f>
        <v>0</v>
      </c>
      <c r="Q25" s="56">
        <f t="shared" si="1"/>
        <v>0</v>
      </c>
      <c r="R25" s="56">
        <f t="shared" si="2"/>
        <v>0</v>
      </c>
      <c r="S25" s="56">
        <f t="shared" si="3"/>
        <v>0</v>
      </c>
      <c r="T25" s="56">
        <f t="shared" si="4"/>
        <v>0</v>
      </c>
      <c r="U25" s="56">
        <f t="shared" si="5"/>
        <v>0</v>
      </c>
      <c r="V25" s="56">
        <f t="shared" si="6"/>
        <v>0</v>
      </c>
    </row>
    <row r="26" spans="2:22" ht="15" customHeight="1" outlineLevel="1" x14ac:dyDescent="0.3">
      <c r="B26" s="4">
        <v>19</v>
      </c>
      <c r="C26" s="124"/>
      <c r="D26" s="124"/>
      <c r="E26" s="124"/>
      <c r="F26" s="124"/>
      <c r="G26" s="37"/>
      <c r="H26" s="38"/>
      <c r="I26" s="74"/>
      <c r="K26" s="45">
        <f>'Genel Durum'!J21</f>
        <v>0</v>
      </c>
      <c r="L26" s="45">
        <f>'Genel Durum'!Q21</f>
        <v>0</v>
      </c>
      <c r="M26" s="45">
        <f>'Genel Durum'!AC21</f>
        <v>0</v>
      </c>
      <c r="N26" s="45">
        <f>'Genel Durum'!AO21</f>
        <v>0</v>
      </c>
      <c r="O26" s="45">
        <f>'Genel Durum'!AZ21</f>
        <v>0</v>
      </c>
      <c r="P26" s="45">
        <f>'Genel Durum'!BK21</f>
        <v>0</v>
      </c>
      <c r="Q26" s="56">
        <f t="shared" si="1"/>
        <v>0</v>
      </c>
      <c r="R26" s="56">
        <f t="shared" si="2"/>
        <v>0</v>
      </c>
      <c r="S26" s="56">
        <f t="shared" si="3"/>
        <v>0</v>
      </c>
      <c r="T26" s="56">
        <f t="shared" si="4"/>
        <v>0</v>
      </c>
      <c r="U26" s="56">
        <f t="shared" si="5"/>
        <v>0</v>
      </c>
      <c r="V26" s="56">
        <f t="shared" si="6"/>
        <v>0</v>
      </c>
    </row>
    <row r="27" spans="2:22" ht="15" customHeight="1" outlineLevel="1" x14ac:dyDescent="0.3">
      <c r="B27" s="4">
        <v>20</v>
      </c>
      <c r="C27" s="124"/>
      <c r="D27" s="124"/>
      <c r="E27" s="124"/>
      <c r="F27" s="124"/>
      <c r="G27" s="37"/>
      <c r="H27" s="38"/>
      <c r="I27" s="74"/>
      <c r="K27" s="45">
        <f>'Genel Durum'!J22</f>
        <v>0</v>
      </c>
      <c r="L27" s="45">
        <f>'Genel Durum'!Q22</f>
        <v>0</v>
      </c>
      <c r="M27" s="45">
        <f>'Genel Durum'!AC22</f>
        <v>0</v>
      </c>
      <c r="N27" s="45">
        <f>'Genel Durum'!AO22</f>
        <v>0</v>
      </c>
      <c r="O27" s="45">
        <f>'Genel Durum'!AZ22</f>
        <v>0</v>
      </c>
      <c r="P27" s="45">
        <f>'Genel Durum'!BK22</f>
        <v>0</v>
      </c>
      <c r="Q27" s="56">
        <f t="shared" si="1"/>
        <v>0</v>
      </c>
      <c r="R27" s="56">
        <f t="shared" si="2"/>
        <v>0</v>
      </c>
      <c r="S27" s="56">
        <f t="shared" si="3"/>
        <v>0</v>
      </c>
      <c r="T27" s="56">
        <f t="shared" si="4"/>
        <v>0</v>
      </c>
      <c r="U27" s="56">
        <f t="shared" si="5"/>
        <v>0</v>
      </c>
      <c r="V27" s="56">
        <f t="shared" si="6"/>
        <v>0</v>
      </c>
    </row>
    <row r="28" spans="2:22" ht="15" customHeight="1" outlineLevel="1" x14ac:dyDescent="0.3">
      <c r="B28" s="4">
        <v>21</v>
      </c>
      <c r="C28" s="124"/>
      <c r="D28" s="124"/>
      <c r="E28" s="124"/>
      <c r="F28" s="124"/>
      <c r="G28" s="37"/>
      <c r="H28" s="38"/>
      <c r="I28" s="74"/>
      <c r="K28" s="45">
        <f>'Genel Durum'!J23</f>
        <v>0</v>
      </c>
      <c r="L28" s="45">
        <f>'Genel Durum'!Q23</f>
        <v>0</v>
      </c>
      <c r="M28" s="45">
        <f>'Genel Durum'!AC23</f>
        <v>0</v>
      </c>
      <c r="N28" s="45">
        <f>'Genel Durum'!AO23</f>
        <v>0</v>
      </c>
      <c r="O28" s="45">
        <f>'Genel Durum'!AZ23</f>
        <v>0</v>
      </c>
      <c r="P28" s="45">
        <f>'Genel Durum'!BK23</f>
        <v>0</v>
      </c>
      <c r="Q28" s="56">
        <f t="shared" si="1"/>
        <v>0</v>
      </c>
      <c r="R28" s="56">
        <f t="shared" si="2"/>
        <v>0</v>
      </c>
      <c r="S28" s="56">
        <f t="shared" si="3"/>
        <v>0</v>
      </c>
      <c r="T28" s="56">
        <f t="shared" si="4"/>
        <v>0</v>
      </c>
      <c r="U28" s="56">
        <f t="shared" si="5"/>
        <v>0</v>
      </c>
      <c r="V28" s="56">
        <f t="shared" si="6"/>
        <v>0</v>
      </c>
    </row>
    <row r="29" spans="2:22" ht="15" customHeight="1" outlineLevel="1" x14ac:dyDescent="0.3">
      <c r="B29" s="4">
        <v>22</v>
      </c>
      <c r="C29" s="124"/>
      <c r="D29" s="124"/>
      <c r="E29" s="124"/>
      <c r="F29" s="124"/>
      <c r="G29" s="37"/>
      <c r="H29" s="38"/>
      <c r="I29" s="74"/>
      <c r="K29" s="45">
        <f>'Genel Durum'!J24</f>
        <v>0</v>
      </c>
      <c r="L29" s="45">
        <f>'Genel Durum'!Q24</f>
        <v>0</v>
      </c>
      <c r="M29" s="45">
        <f>'Genel Durum'!AC24</f>
        <v>0</v>
      </c>
      <c r="N29" s="45">
        <f>'Genel Durum'!AO24</f>
        <v>0</v>
      </c>
      <c r="O29" s="45">
        <f>'Genel Durum'!AZ24</f>
        <v>0</v>
      </c>
      <c r="P29" s="45">
        <f>'Genel Durum'!BK24</f>
        <v>0</v>
      </c>
      <c r="Q29" s="56">
        <f t="shared" si="1"/>
        <v>0</v>
      </c>
      <c r="R29" s="56">
        <f t="shared" si="2"/>
        <v>0</v>
      </c>
      <c r="S29" s="56">
        <f t="shared" si="3"/>
        <v>0</v>
      </c>
      <c r="T29" s="56">
        <f t="shared" si="4"/>
        <v>0</v>
      </c>
      <c r="U29" s="56">
        <f t="shared" si="5"/>
        <v>0</v>
      </c>
      <c r="V29" s="56">
        <f t="shared" si="6"/>
        <v>0</v>
      </c>
    </row>
    <row r="30" spans="2:22" ht="15" customHeight="1" outlineLevel="1" x14ac:dyDescent="0.3">
      <c r="B30" s="4">
        <v>23</v>
      </c>
      <c r="C30" s="124"/>
      <c r="D30" s="124"/>
      <c r="E30" s="124"/>
      <c r="F30" s="124"/>
      <c r="G30" s="37"/>
      <c r="H30" s="38"/>
      <c r="I30" s="74"/>
      <c r="K30" s="45">
        <f>'Genel Durum'!J25</f>
        <v>0</v>
      </c>
      <c r="L30" s="45">
        <f>'Genel Durum'!Q25</f>
        <v>0</v>
      </c>
      <c r="M30" s="45">
        <f>'Genel Durum'!AC25</f>
        <v>0</v>
      </c>
      <c r="N30" s="45">
        <f>'Genel Durum'!AO25</f>
        <v>0</v>
      </c>
      <c r="O30" s="45">
        <f>'Genel Durum'!AZ25</f>
        <v>0</v>
      </c>
      <c r="P30" s="45">
        <f>'Genel Durum'!BK25</f>
        <v>0</v>
      </c>
      <c r="Q30" s="56">
        <f t="shared" si="1"/>
        <v>0</v>
      </c>
      <c r="R30" s="56">
        <f t="shared" si="2"/>
        <v>0</v>
      </c>
      <c r="S30" s="56">
        <f t="shared" si="3"/>
        <v>0</v>
      </c>
      <c r="T30" s="56">
        <f t="shared" si="4"/>
        <v>0</v>
      </c>
      <c r="U30" s="56">
        <f t="shared" si="5"/>
        <v>0</v>
      </c>
      <c r="V30" s="56">
        <f t="shared" si="6"/>
        <v>0</v>
      </c>
    </row>
    <row r="31" spans="2:22" ht="15" customHeight="1" outlineLevel="1" x14ac:dyDescent="0.3">
      <c r="B31" s="4">
        <v>24</v>
      </c>
      <c r="C31" s="124"/>
      <c r="D31" s="124"/>
      <c r="E31" s="124"/>
      <c r="F31" s="124"/>
      <c r="G31" s="37"/>
      <c r="H31" s="38"/>
      <c r="I31" s="74"/>
      <c r="K31" s="45">
        <f>'Genel Durum'!J26</f>
        <v>0</v>
      </c>
      <c r="L31" s="45">
        <f>'Genel Durum'!Q26</f>
        <v>0</v>
      </c>
      <c r="M31" s="45">
        <f>'Genel Durum'!AC26</f>
        <v>0</v>
      </c>
      <c r="N31" s="45">
        <f>'Genel Durum'!AO26</f>
        <v>0</v>
      </c>
      <c r="O31" s="45">
        <f>'Genel Durum'!AZ26</f>
        <v>0</v>
      </c>
      <c r="P31" s="45">
        <f>'Genel Durum'!BK26</f>
        <v>0</v>
      </c>
      <c r="Q31" s="56">
        <f t="shared" si="1"/>
        <v>0</v>
      </c>
      <c r="R31" s="56">
        <f t="shared" si="2"/>
        <v>0</v>
      </c>
      <c r="S31" s="56">
        <f t="shared" si="3"/>
        <v>0</v>
      </c>
      <c r="T31" s="56">
        <f t="shared" si="4"/>
        <v>0</v>
      </c>
      <c r="U31" s="56">
        <f t="shared" si="5"/>
        <v>0</v>
      </c>
      <c r="V31" s="56">
        <f t="shared" si="6"/>
        <v>0</v>
      </c>
    </row>
    <row r="32" spans="2:22" ht="15" customHeight="1" outlineLevel="1" x14ac:dyDescent="0.3">
      <c r="B32" s="4">
        <v>25</v>
      </c>
      <c r="C32" s="124"/>
      <c r="D32" s="124"/>
      <c r="E32" s="124"/>
      <c r="F32" s="124"/>
      <c r="G32" s="37"/>
      <c r="H32" s="38"/>
      <c r="I32" s="74"/>
      <c r="K32" s="45">
        <f>'Genel Durum'!J27</f>
        <v>0</v>
      </c>
      <c r="L32" s="45">
        <f>'Genel Durum'!Q27</f>
        <v>0</v>
      </c>
      <c r="M32" s="45">
        <f>'Genel Durum'!AC27</f>
        <v>0</v>
      </c>
      <c r="N32" s="45">
        <f>'Genel Durum'!AO27</f>
        <v>0</v>
      </c>
      <c r="O32" s="45">
        <f>'Genel Durum'!AZ27</f>
        <v>0</v>
      </c>
      <c r="P32" s="45">
        <f>'Genel Durum'!BK27</f>
        <v>0</v>
      </c>
      <c r="Q32" s="56">
        <f t="shared" si="1"/>
        <v>0</v>
      </c>
      <c r="R32" s="56">
        <f t="shared" si="2"/>
        <v>0</v>
      </c>
      <c r="S32" s="56">
        <f t="shared" si="3"/>
        <v>0</v>
      </c>
      <c r="T32" s="56">
        <f t="shared" si="4"/>
        <v>0</v>
      </c>
      <c r="U32" s="56">
        <f t="shared" si="5"/>
        <v>0</v>
      </c>
      <c r="V32" s="56">
        <f t="shared" si="6"/>
        <v>0</v>
      </c>
    </row>
    <row r="33" spans="2:22" ht="15" customHeight="1" outlineLevel="1" x14ac:dyDescent="0.3">
      <c r="B33" s="4">
        <v>26</v>
      </c>
      <c r="C33" s="124"/>
      <c r="D33" s="124"/>
      <c r="E33" s="124"/>
      <c r="F33" s="124"/>
      <c r="G33" s="37"/>
      <c r="H33" s="38"/>
      <c r="I33" s="74"/>
      <c r="K33" s="45">
        <f>'Genel Durum'!J28</f>
        <v>0</v>
      </c>
      <c r="L33" s="45">
        <f>'Genel Durum'!Q28</f>
        <v>0</v>
      </c>
      <c r="M33" s="45">
        <f>'Genel Durum'!AC28</f>
        <v>0</v>
      </c>
      <c r="N33" s="45">
        <f>'Genel Durum'!AO28</f>
        <v>0</v>
      </c>
      <c r="O33" s="45">
        <f>'Genel Durum'!AZ28</f>
        <v>0</v>
      </c>
      <c r="P33" s="45">
        <f>'Genel Durum'!BK28</f>
        <v>0</v>
      </c>
      <c r="Q33" s="56">
        <f t="shared" si="1"/>
        <v>0</v>
      </c>
      <c r="R33" s="56">
        <f t="shared" si="2"/>
        <v>0</v>
      </c>
      <c r="S33" s="56">
        <f t="shared" si="3"/>
        <v>0</v>
      </c>
      <c r="T33" s="56">
        <f t="shared" si="4"/>
        <v>0</v>
      </c>
      <c r="U33" s="56">
        <f t="shared" si="5"/>
        <v>0</v>
      </c>
      <c r="V33" s="56">
        <f t="shared" si="6"/>
        <v>0</v>
      </c>
    </row>
    <row r="34" spans="2:22" ht="15" customHeight="1" outlineLevel="1" x14ac:dyDescent="0.3">
      <c r="B34" s="4">
        <v>27</v>
      </c>
      <c r="C34" s="124"/>
      <c r="D34" s="124"/>
      <c r="E34" s="124"/>
      <c r="F34" s="124"/>
      <c r="G34" s="37"/>
      <c r="H34" s="38"/>
      <c r="I34" s="74"/>
      <c r="K34" s="45">
        <f>'Genel Durum'!J29</f>
        <v>0</v>
      </c>
      <c r="L34" s="45">
        <f>'Genel Durum'!Q29</f>
        <v>0</v>
      </c>
      <c r="M34" s="45">
        <f>'Genel Durum'!AC29</f>
        <v>0</v>
      </c>
      <c r="N34" s="45">
        <f>'Genel Durum'!AO29</f>
        <v>0</v>
      </c>
      <c r="O34" s="45">
        <f>'Genel Durum'!AZ29</f>
        <v>0</v>
      </c>
      <c r="P34" s="45">
        <f>'Genel Durum'!BK29</f>
        <v>0</v>
      </c>
      <c r="Q34" s="56">
        <f t="shared" si="1"/>
        <v>0</v>
      </c>
      <c r="R34" s="56">
        <f t="shared" si="2"/>
        <v>0</v>
      </c>
      <c r="S34" s="56">
        <f t="shared" si="3"/>
        <v>0</v>
      </c>
      <c r="T34" s="56">
        <f t="shared" si="4"/>
        <v>0</v>
      </c>
      <c r="U34" s="56">
        <f t="shared" si="5"/>
        <v>0</v>
      </c>
      <c r="V34" s="56">
        <f t="shared" si="6"/>
        <v>0</v>
      </c>
    </row>
    <row r="35" spans="2:22" ht="15" customHeight="1" outlineLevel="1" x14ac:dyDescent="0.3">
      <c r="B35" s="4">
        <v>28</v>
      </c>
      <c r="C35" s="124"/>
      <c r="D35" s="124"/>
      <c r="E35" s="124"/>
      <c r="F35" s="124"/>
      <c r="G35" s="37"/>
      <c r="H35" s="38"/>
      <c r="I35" s="74"/>
      <c r="K35" s="45">
        <f>'Genel Durum'!J30</f>
        <v>0</v>
      </c>
      <c r="L35" s="45">
        <f>'Genel Durum'!Q30</f>
        <v>0</v>
      </c>
      <c r="M35" s="45">
        <f>'Genel Durum'!AC30</f>
        <v>0</v>
      </c>
      <c r="N35" s="45">
        <f>'Genel Durum'!AO30</f>
        <v>0</v>
      </c>
      <c r="O35" s="45">
        <f>'Genel Durum'!AZ30</f>
        <v>0</v>
      </c>
      <c r="P35" s="45">
        <f>'Genel Durum'!BK30</f>
        <v>0</v>
      </c>
      <c r="Q35" s="56">
        <f t="shared" si="1"/>
        <v>0</v>
      </c>
      <c r="R35" s="56">
        <f t="shared" si="2"/>
        <v>0</v>
      </c>
      <c r="S35" s="56">
        <f t="shared" si="3"/>
        <v>0</v>
      </c>
      <c r="T35" s="56">
        <f t="shared" si="4"/>
        <v>0</v>
      </c>
      <c r="U35" s="56">
        <f t="shared" si="5"/>
        <v>0</v>
      </c>
      <c r="V35" s="56">
        <f t="shared" si="6"/>
        <v>0</v>
      </c>
    </row>
    <row r="36" spans="2:22" ht="15" customHeight="1" outlineLevel="1" x14ac:dyDescent="0.3">
      <c r="B36" s="4">
        <v>29</v>
      </c>
      <c r="C36" s="124"/>
      <c r="D36" s="124"/>
      <c r="E36" s="124"/>
      <c r="F36" s="124"/>
      <c r="G36" s="37"/>
      <c r="H36" s="38"/>
      <c r="I36" s="74"/>
      <c r="K36" s="45">
        <f>'Genel Durum'!J31</f>
        <v>0</v>
      </c>
      <c r="L36" s="45">
        <f>'Genel Durum'!Q31</f>
        <v>0</v>
      </c>
      <c r="M36" s="45">
        <f>'Genel Durum'!AC31</f>
        <v>0</v>
      </c>
      <c r="N36" s="45">
        <f>'Genel Durum'!AO31</f>
        <v>0</v>
      </c>
      <c r="O36" s="45">
        <f>'Genel Durum'!AZ31</f>
        <v>0</v>
      </c>
      <c r="P36" s="45">
        <f>'Genel Durum'!BK31</f>
        <v>0</v>
      </c>
      <c r="Q36" s="56">
        <f t="shared" si="1"/>
        <v>0</v>
      </c>
      <c r="R36" s="56">
        <f t="shared" si="2"/>
        <v>0</v>
      </c>
      <c r="S36" s="56">
        <f t="shared" si="3"/>
        <v>0</v>
      </c>
      <c r="T36" s="56">
        <f t="shared" si="4"/>
        <v>0</v>
      </c>
      <c r="U36" s="56">
        <f t="shared" si="5"/>
        <v>0</v>
      </c>
      <c r="V36" s="56">
        <f t="shared" si="6"/>
        <v>0</v>
      </c>
    </row>
    <row r="37" spans="2:22" ht="15" customHeight="1" outlineLevel="1" x14ac:dyDescent="0.3">
      <c r="B37" s="4">
        <v>30</v>
      </c>
      <c r="C37" s="124"/>
      <c r="D37" s="124"/>
      <c r="E37" s="124"/>
      <c r="F37" s="124"/>
      <c r="G37" s="37"/>
      <c r="H37" s="38"/>
      <c r="I37" s="74"/>
      <c r="K37" s="45">
        <f>'Genel Durum'!J32</f>
        <v>0</v>
      </c>
      <c r="L37" s="45">
        <f>'Genel Durum'!Q32</f>
        <v>0</v>
      </c>
      <c r="M37" s="45">
        <f>'Genel Durum'!AC32</f>
        <v>0</v>
      </c>
      <c r="N37" s="45">
        <f>'Genel Durum'!AO32</f>
        <v>0</v>
      </c>
      <c r="O37" s="45">
        <f>'Genel Durum'!AZ32</f>
        <v>0</v>
      </c>
      <c r="P37" s="45">
        <f>'Genel Durum'!BK32</f>
        <v>0</v>
      </c>
      <c r="Q37" s="56">
        <f t="shared" si="1"/>
        <v>0</v>
      </c>
      <c r="R37" s="56">
        <f t="shared" si="2"/>
        <v>0</v>
      </c>
      <c r="S37" s="56">
        <f t="shared" si="3"/>
        <v>0</v>
      </c>
      <c r="T37" s="56">
        <f t="shared" si="4"/>
        <v>0</v>
      </c>
      <c r="U37" s="56">
        <f t="shared" si="5"/>
        <v>0</v>
      </c>
      <c r="V37" s="56">
        <f t="shared" si="6"/>
        <v>0</v>
      </c>
    </row>
    <row r="38" spans="2:22" ht="15" customHeight="1" thickBot="1" x14ac:dyDescent="0.35">
      <c r="C38" s="2"/>
      <c r="D38" s="2"/>
      <c r="E38" s="2"/>
      <c r="F38" s="2"/>
    </row>
    <row r="39" spans="2:22" ht="25.2" customHeight="1" thickBot="1" x14ac:dyDescent="0.35">
      <c r="B39" s="125" t="s">
        <v>3</v>
      </c>
      <c r="C39" s="126"/>
      <c r="D39" s="126"/>
      <c r="E39" s="126"/>
      <c r="F39" s="126"/>
      <c r="G39" s="126"/>
      <c r="H39" s="126"/>
      <c r="I39" s="127"/>
    </row>
    <row r="40" spans="2:22" ht="15" customHeight="1" x14ac:dyDescent="0.3">
      <c r="B40" s="128"/>
      <c r="C40" s="129"/>
      <c r="D40" s="129"/>
      <c r="E40" s="129"/>
      <c r="F40" s="129"/>
      <c r="G40" s="129"/>
      <c r="H40" s="129"/>
      <c r="I40" s="130"/>
      <c r="N40" s="120"/>
      <c r="O40" s="120"/>
    </row>
    <row r="41" spans="2:22" ht="15" customHeight="1" x14ac:dyDescent="0.3">
      <c r="B41" s="131"/>
      <c r="C41" s="120"/>
      <c r="D41" s="120"/>
      <c r="E41" s="120"/>
      <c r="F41" s="120"/>
      <c r="G41" s="120"/>
      <c r="H41" s="120"/>
      <c r="I41" s="132"/>
    </row>
    <row r="42" spans="2:22" ht="15" customHeight="1" x14ac:dyDescent="0.3">
      <c r="B42" s="131"/>
      <c r="C42" s="120"/>
      <c r="D42" s="120"/>
      <c r="E42" s="120"/>
      <c r="F42" s="120"/>
      <c r="G42" s="120"/>
      <c r="H42" s="120"/>
      <c r="I42" s="132"/>
    </row>
    <row r="43" spans="2:22" ht="15" customHeight="1" x14ac:dyDescent="0.3">
      <c r="B43" s="131"/>
      <c r="C43" s="120"/>
      <c r="D43" s="120"/>
      <c r="E43" s="120"/>
      <c r="F43" s="120"/>
      <c r="G43" s="120"/>
      <c r="H43" s="120"/>
      <c r="I43" s="132"/>
    </row>
    <row r="44" spans="2:22" ht="15" customHeight="1" x14ac:dyDescent="0.3">
      <c r="B44" s="131"/>
      <c r="C44" s="120"/>
      <c r="D44" s="120"/>
      <c r="E44" s="120"/>
      <c r="F44" s="120"/>
      <c r="G44" s="120"/>
      <c r="H44" s="120"/>
      <c r="I44" s="132"/>
    </row>
    <row r="45" spans="2:22" ht="15" customHeight="1" x14ac:dyDescent="0.3">
      <c r="B45" s="131"/>
      <c r="C45" s="120"/>
      <c r="D45" s="120"/>
      <c r="E45" s="120"/>
      <c r="F45" s="120"/>
      <c r="G45" s="120"/>
      <c r="H45" s="120"/>
      <c r="I45" s="132"/>
    </row>
    <row r="46" spans="2:22" ht="15" customHeight="1" x14ac:dyDescent="0.3">
      <c r="B46" s="131"/>
      <c r="C46" s="120"/>
      <c r="D46" s="120"/>
      <c r="E46" s="120"/>
      <c r="F46" s="120"/>
      <c r="G46" s="120"/>
      <c r="H46" s="120"/>
      <c r="I46" s="132"/>
    </row>
    <row r="47" spans="2:22" ht="15" customHeight="1" x14ac:dyDescent="0.3">
      <c r="B47" s="131"/>
      <c r="C47" s="120"/>
      <c r="D47" s="120"/>
      <c r="E47" s="120"/>
      <c r="F47" s="120"/>
      <c r="G47" s="120"/>
      <c r="H47" s="120"/>
      <c r="I47" s="132"/>
    </row>
    <row r="48" spans="2:22" ht="15" customHeight="1" x14ac:dyDescent="0.3">
      <c r="B48" s="131"/>
      <c r="C48" s="120"/>
      <c r="D48" s="120"/>
      <c r="E48" s="120"/>
      <c r="F48" s="120"/>
      <c r="G48" s="120"/>
      <c r="H48" s="120"/>
      <c r="I48" s="132"/>
    </row>
    <row r="49" spans="2:9" ht="15" customHeight="1" x14ac:dyDescent="0.3">
      <c r="B49" s="131"/>
      <c r="C49" s="120"/>
      <c r="D49" s="120"/>
      <c r="E49" s="120"/>
      <c r="F49" s="120"/>
      <c r="G49" s="120"/>
      <c r="H49" s="120"/>
      <c r="I49" s="132"/>
    </row>
    <row r="50" spans="2:9" ht="15" customHeight="1" x14ac:dyDescent="0.3">
      <c r="B50" s="131"/>
      <c r="C50" s="120"/>
      <c r="D50" s="120"/>
      <c r="E50" s="120"/>
      <c r="F50" s="120"/>
      <c r="G50" s="120"/>
      <c r="H50" s="120"/>
      <c r="I50" s="132"/>
    </row>
    <row r="51" spans="2:9" ht="15" customHeight="1" x14ac:dyDescent="0.3">
      <c r="B51" s="131"/>
      <c r="C51" s="120"/>
      <c r="D51" s="120"/>
      <c r="E51" s="120"/>
      <c r="F51" s="120"/>
      <c r="G51" s="120"/>
      <c r="H51" s="120"/>
      <c r="I51" s="132"/>
    </row>
    <row r="52" spans="2:9" ht="15" customHeight="1" x14ac:dyDescent="0.3">
      <c r="B52" s="131"/>
      <c r="C52" s="120"/>
      <c r="D52" s="120"/>
      <c r="E52" s="120"/>
      <c r="F52" s="120"/>
      <c r="G52" s="120"/>
      <c r="H52" s="120"/>
      <c r="I52" s="132"/>
    </row>
    <row r="53" spans="2:9" ht="15" customHeight="1" x14ac:dyDescent="0.3">
      <c r="B53" s="131"/>
      <c r="C53" s="120"/>
      <c r="D53" s="120"/>
      <c r="E53" s="120"/>
      <c r="F53" s="120"/>
      <c r="G53" s="120"/>
      <c r="H53" s="120"/>
      <c r="I53" s="132"/>
    </row>
    <row r="54" spans="2:9" ht="15" customHeight="1" thickBot="1" x14ac:dyDescent="0.35">
      <c r="B54" s="133"/>
      <c r="C54" s="134"/>
      <c r="D54" s="134"/>
      <c r="E54" s="134"/>
      <c r="F54" s="134"/>
      <c r="G54" s="134"/>
      <c r="H54" s="134"/>
      <c r="I54" s="135"/>
    </row>
    <row r="55" spans="2:9" ht="6" customHeight="1" thickBot="1" x14ac:dyDescent="0.35"/>
    <row r="56" spans="2:9" ht="25.2" customHeight="1" x14ac:dyDescent="0.3">
      <c r="B56" s="113" t="s">
        <v>96</v>
      </c>
      <c r="C56" s="114"/>
      <c r="D56" s="114"/>
      <c r="E56" s="114"/>
      <c r="F56" s="114"/>
      <c r="G56" s="114"/>
      <c r="H56" s="114"/>
      <c r="I56" s="115"/>
    </row>
    <row r="57" spans="2:9" ht="15" customHeight="1" x14ac:dyDescent="0.3">
      <c r="B57" s="94" t="s">
        <v>97</v>
      </c>
      <c r="C57" s="95"/>
      <c r="D57" s="102"/>
      <c r="E57" s="103"/>
      <c r="F57" s="106" t="s">
        <v>98</v>
      </c>
      <c r="G57" s="107"/>
      <c r="H57" s="98"/>
      <c r="I57" s="99"/>
    </row>
    <row r="58" spans="2:9" ht="15" customHeight="1" x14ac:dyDescent="0.3">
      <c r="B58" s="94" t="s">
        <v>99</v>
      </c>
      <c r="C58" s="95"/>
      <c r="D58" s="102"/>
      <c r="E58" s="103"/>
      <c r="F58" s="106" t="s">
        <v>100</v>
      </c>
      <c r="G58" s="107"/>
      <c r="H58" s="98"/>
      <c r="I58" s="99"/>
    </row>
    <row r="59" spans="2:9" ht="15" customHeight="1" thickBot="1" x14ac:dyDescent="0.35">
      <c r="B59" s="108" t="s">
        <v>101</v>
      </c>
      <c r="C59" s="109"/>
      <c r="D59" s="100"/>
      <c r="E59" s="101"/>
      <c r="F59" s="104" t="s">
        <v>102</v>
      </c>
      <c r="G59" s="105"/>
      <c r="H59" s="96"/>
      <c r="I59" s="97"/>
    </row>
    <row r="60" spans="2:9" ht="15" customHeight="1" thickBot="1" x14ac:dyDescent="0.35">
      <c r="B60" s="71"/>
      <c r="C60" s="71"/>
      <c r="D60" s="71"/>
      <c r="E60" s="71"/>
      <c r="F60" s="70"/>
      <c r="G60" s="71"/>
      <c r="H60" s="71"/>
      <c r="I60" s="71"/>
    </row>
    <row r="61" spans="2:9" ht="25.2" customHeight="1" x14ac:dyDescent="0.3">
      <c r="B61" s="155" t="s">
        <v>2</v>
      </c>
      <c r="C61" s="156"/>
      <c r="D61" s="156"/>
      <c r="E61" s="156"/>
      <c r="F61" s="156"/>
      <c r="G61" s="156"/>
      <c r="H61" s="156"/>
      <c r="I61" s="157"/>
    </row>
    <row r="62" spans="2:9" ht="15" customHeight="1" x14ac:dyDescent="0.3">
      <c r="B62" s="94" t="s">
        <v>1</v>
      </c>
      <c r="C62" s="107"/>
      <c r="D62" s="142" t="s">
        <v>0</v>
      </c>
      <c r="E62" s="142"/>
      <c r="F62" s="95" t="s">
        <v>1</v>
      </c>
      <c r="G62" s="107"/>
      <c r="H62" s="106" t="s">
        <v>0</v>
      </c>
      <c r="I62" s="107"/>
    </row>
    <row r="63" spans="2:9" ht="15" customHeight="1" x14ac:dyDescent="0.3">
      <c r="B63" s="137"/>
      <c r="C63" s="138"/>
      <c r="D63" s="139"/>
      <c r="E63" s="138"/>
      <c r="F63" s="110"/>
      <c r="G63" s="110"/>
      <c r="H63" s="140"/>
      <c r="I63" s="141"/>
    </row>
    <row r="64" spans="2:9" ht="15" customHeight="1" x14ac:dyDescent="0.3">
      <c r="B64" s="137"/>
      <c r="C64" s="138"/>
      <c r="D64" s="139"/>
      <c r="E64" s="138"/>
      <c r="F64" s="110"/>
      <c r="G64" s="110"/>
      <c r="H64" s="140"/>
      <c r="I64" s="141"/>
    </row>
    <row r="65" spans="2:9" ht="15" customHeight="1" x14ac:dyDescent="0.3">
      <c r="B65" s="137"/>
      <c r="C65" s="138"/>
      <c r="D65" s="139"/>
      <c r="E65" s="138"/>
      <c r="F65" s="110"/>
      <c r="G65" s="110"/>
      <c r="H65" s="140"/>
      <c r="I65" s="141"/>
    </row>
    <row r="66" spans="2:9" ht="15" customHeight="1" x14ac:dyDescent="0.3">
      <c r="B66" s="137"/>
      <c r="C66" s="138"/>
      <c r="D66" s="139"/>
      <c r="E66" s="138"/>
      <c r="F66" s="110"/>
      <c r="G66" s="110"/>
      <c r="H66" s="140"/>
      <c r="I66" s="141"/>
    </row>
    <row r="67" spans="2:9" ht="15" customHeight="1" thickBot="1" x14ac:dyDescent="0.35">
      <c r="B67" s="162"/>
      <c r="C67" s="163"/>
      <c r="D67" s="164"/>
      <c r="E67" s="163"/>
      <c r="F67" s="165"/>
      <c r="G67" s="165"/>
      <c r="H67" s="111"/>
      <c r="I67" s="112"/>
    </row>
    <row r="68" spans="2:9" ht="15" customHeight="1" x14ac:dyDescent="0.3">
      <c r="B68" s="2"/>
      <c r="C68" s="2"/>
      <c r="D68" s="2"/>
      <c r="E68" s="2"/>
      <c r="F68" s="2"/>
      <c r="H68" s="2"/>
      <c r="I68" s="2"/>
    </row>
    <row r="69" spans="2:9" ht="25.2" customHeight="1" x14ac:dyDescent="0.3">
      <c r="B69" s="169" t="s">
        <v>6</v>
      </c>
      <c r="C69" s="170"/>
      <c r="D69" s="170"/>
      <c r="E69" s="170"/>
      <c r="F69" s="170"/>
      <c r="G69" s="170"/>
      <c r="H69" s="170"/>
      <c r="I69" s="171"/>
    </row>
    <row r="70" spans="2:9" ht="15" customHeight="1" x14ac:dyDescent="0.3">
      <c r="B70" s="166"/>
      <c r="C70" s="167"/>
      <c r="D70" s="167"/>
      <c r="E70" s="167"/>
      <c r="F70" s="167"/>
      <c r="G70" s="167"/>
      <c r="H70" s="167"/>
      <c r="I70" s="168"/>
    </row>
    <row r="71" spans="2:9" ht="15" customHeight="1" x14ac:dyDescent="0.3">
      <c r="B71" s="119"/>
      <c r="C71" s="120"/>
      <c r="D71" s="120"/>
      <c r="E71" s="120"/>
      <c r="F71" s="120"/>
      <c r="G71" s="120"/>
      <c r="H71" s="120"/>
      <c r="I71" s="121"/>
    </row>
    <row r="72" spans="2:9" ht="15" customHeight="1" x14ac:dyDescent="0.3">
      <c r="B72" s="119"/>
      <c r="C72" s="120"/>
      <c r="D72" s="120"/>
      <c r="E72" s="120"/>
      <c r="F72" s="120"/>
      <c r="G72" s="120"/>
      <c r="H72" s="120"/>
      <c r="I72" s="121"/>
    </row>
    <row r="73" spans="2:9" ht="15" customHeight="1" x14ac:dyDescent="0.3">
      <c r="B73" s="119"/>
      <c r="C73" s="120"/>
      <c r="D73" s="120"/>
      <c r="E73" s="120"/>
      <c r="F73" s="120"/>
      <c r="G73" s="120"/>
      <c r="H73" s="120"/>
      <c r="I73" s="121"/>
    </row>
    <row r="74" spans="2:9" ht="15" customHeight="1" x14ac:dyDescent="0.3">
      <c r="B74" s="119"/>
      <c r="C74" s="120"/>
      <c r="D74" s="120"/>
      <c r="E74" s="120"/>
      <c r="F74" s="120"/>
      <c r="G74" s="120"/>
      <c r="H74" s="120"/>
      <c r="I74" s="121"/>
    </row>
    <row r="75" spans="2:9" ht="15" customHeight="1" x14ac:dyDescent="0.3">
      <c r="B75" s="119"/>
      <c r="C75" s="120"/>
      <c r="D75" s="120"/>
      <c r="E75" s="120"/>
      <c r="F75" s="120"/>
      <c r="G75" s="120"/>
      <c r="H75" s="120"/>
      <c r="I75" s="121"/>
    </row>
    <row r="76" spans="2:9" ht="15" customHeight="1" x14ac:dyDescent="0.3">
      <c r="B76" s="119"/>
      <c r="C76" s="120"/>
      <c r="D76" s="120"/>
      <c r="E76" s="120"/>
      <c r="F76" s="120"/>
      <c r="G76" s="120"/>
      <c r="H76" s="120"/>
      <c r="I76" s="121"/>
    </row>
    <row r="77" spans="2:9" ht="15" customHeight="1" x14ac:dyDescent="0.3">
      <c r="B77" s="119"/>
      <c r="C77" s="120"/>
      <c r="D77" s="120"/>
      <c r="E77" s="120"/>
      <c r="F77" s="120"/>
      <c r="G77" s="120"/>
      <c r="H77" s="120"/>
      <c r="I77" s="121"/>
    </row>
    <row r="78" spans="2:9" ht="15" customHeight="1" x14ac:dyDescent="0.3">
      <c r="B78" s="159"/>
      <c r="C78" s="160"/>
      <c r="D78" s="160"/>
      <c r="E78" s="160"/>
      <c r="F78" s="160"/>
      <c r="G78" s="160"/>
      <c r="H78" s="160"/>
      <c r="I78" s="161"/>
    </row>
    <row r="79" spans="2:9" ht="15" customHeight="1" x14ac:dyDescent="0.3">
      <c r="B79" s="2"/>
      <c r="C79" s="2"/>
      <c r="D79" s="2"/>
      <c r="E79" s="2"/>
      <c r="F79" s="2"/>
      <c r="H79" s="2"/>
      <c r="I79" s="2"/>
    </row>
    <row r="80" spans="2:9" ht="15" customHeight="1" x14ac:dyDescent="0.3"/>
    <row r="81" ht="15" customHeight="1" x14ac:dyDescent="0.3"/>
    <row r="82" ht="15" customHeight="1" x14ac:dyDescent="0.3"/>
  </sheetData>
  <protectedRanges>
    <protectedRange sqref="D57:E59 H57:I59" name="Aralık4"/>
    <protectedRange sqref="B8:I37" name="Aralık1"/>
    <protectedRange sqref="C4:E5 H4:I5" name="Aralık2"/>
    <protectedRange sqref="B40:B46 B63:I67 F57:I60 B70:I78" name="Aralık3"/>
  </protectedRanges>
  <mergeCells count="92">
    <mergeCell ref="B78:I78"/>
    <mergeCell ref="B67:C67"/>
    <mergeCell ref="D67:E67"/>
    <mergeCell ref="F67:G67"/>
    <mergeCell ref="B70:I70"/>
    <mergeCell ref="B69:I69"/>
    <mergeCell ref="B77:I77"/>
    <mergeCell ref="B75:I75"/>
    <mergeCell ref="B76:I76"/>
    <mergeCell ref="B73:I73"/>
    <mergeCell ref="B74:I74"/>
    <mergeCell ref="N40:O40"/>
    <mergeCell ref="K2:P5"/>
    <mergeCell ref="Q2:V5"/>
    <mergeCell ref="B72:I72"/>
    <mergeCell ref="D63:E63"/>
    <mergeCell ref="F63:G63"/>
    <mergeCell ref="F64:G64"/>
    <mergeCell ref="H64:I64"/>
    <mergeCell ref="H4:I4"/>
    <mergeCell ref="H5:I5"/>
    <mergeCell ref="C5:E5"/>
    <mergeCell ref="C4:E4"/>
    <mergeCell ref="B61:I61"/>
    <mergeCell ref="C7:F7"/>
    <mergeCell ref="C8:F8"/>
    <mergeCell ref="C36:F36"/>
    <mergeCell ref="C1:H1"/>
    <mergeCell ref="B66:C66"/>
    <mergeCell ref="D66:E66"/>
    <mergeCell ref="F66:G66"/>
    <mergeCell ref="H66:I66"/>
    <mergeCell ref="H65:I65"/>
    <mergeCell ref="H62:I62"/>
    <mergeCell ref="B64:C64"/>
    <mergeCell ref="D64:E64"/>
    <mergeCell ref="B63:C63"/>
    <mergeCell ref="B65:C65"/>
    <mergeCell ref="D65:E65"/>
    <mergeCell ref="H63:I63"/>
    <mergeCell ref="B62:C62"/>
    <mergeCell ref="D62:E62"/>
    <mergeCell ref="F62:G62"/>
    <mergeCell ref="C18:F18"/>
    <mergeCell ref="C30:F30"/>
    <mergeCell ref="C31:F31"/>
    <mergeCell ref="C35:F35"/>
    <mergeCell ref="C32:F32"/>
    <mergeCell ref="C33:F33"/>
    <mergeCell ref="C34:F34"/>
    <mergeCell ref="B39:I39"/>
    <mergeCell ref="B40:I54"/>
    <mergeCell ref="C19:F19"/>
    <mergeCell ref="C20:F20"/>
    <mergeCell ref="C21:F21"/>
    <mergeCell ref="C22:F22"/>
    <mergeCell ref="C28:F28"/>
    <mergeCell ref="C29:F29"/>
    <mergeCell ref="C23:F23"/>
    <mergeCell ref="C24:F24"/>
    <mergeCell ref="C25:F25"/>
    <mergeCell ref="C26:F26"/>
    <mergeCell ref="C27:F27"/>
    <mergeCell ref="C37:F37"/>
    <mergeCell ref="F65:G65"/>
    <mergeCell ref="H67:I67"/>
    <mergeCell ref="B56:I56"/>
    <mergeCell ref="D2:I2"/>
    <mergeCell ref="B71:I71"/>
    <mergeCell ref="F4:G4"/>
    <mergeCell ref="F5:G5"/>
    <mergeCell ref="C14:F14"/>
    <mergeCell ref="C15:F15"/>
    <mergeCell ref="C16:F16"/>
    <mergeCell ref="C17:F17"/>
    <mergeCell ref="C9:F9"/>
    <mergeCell ref="C10:F10"/>
    <mergeCell ref="C11:F11"/>
    <mergeCell ref="C12:F12"/>
    <mergeCell ref="C13:F13"/>
    <mergeCell ref="B57:C57"/>
    <mergeCell ref="B58:C58"/>
    <mergeCell ref="H59:I59"/>
    <mergeCell ref="H58:I58"/>
    <mergeCell ref="H57:I57"/>
    <mergeCell ref="D59:E59"/>
    <mergeCell ref="D58:E58"/>
    <mergeCell ref="D57:E57"/>
    <mergeCell ref="F59:G59"/>
    <mergeCell ref="F58:G58"/>
    <mergeCell ref="F57:G57"/>
    <mergeCell ref="B59:C59"/>
  </mergeCells>
  <phoneticPr fontId="4" type="noConversion"/>
  <conditionalFormatting sqref="Q8:V37">
    <cfRule type="colorScale" priority="2">
      <colorScale>
        <cfvo type="percent" val="0.2"/>
        <cfvo type="percent" val="20"/>
        <cfvo type="percent" val="9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8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S8" sqref="S8"/>
    </sheetView>
  </sheetViews>
  <sheetFormatPr defaultColWidth="8.88671875"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BU41"/>
  <sheetViews>
    <sheetView showGridLines="0" showZeros="0" zoomScaleNormal="100" workbookViewId="0">
      <selection activeCell="G26" sqref="G26"/>
    </sheetView>
  </sheetViews>
  <sheetFormatPr defaultRowHeight="14.4" outlineLevelRow="1" outlineLevelCol="1" x14ac:dyDescent="0.3"/>
  <cols>
    <col min="1" max="1" width="2.44140625" customWidth="1"/>
    <col min="2" max="9" width="10.6640625" customWidth="1"/>
    <col min="10" max="10" width="11.88671875" bestFit="1" customWidth="1"/>
    <col min="11" max="11" width="14.88671875" bestFit="1" customWidth="1"/>
    <col min="12" max="13" width="9.33203125" customWidth="1" outlineLevel="1"/>
    <col min="14" max="15" width="10.6640625" customWidth="1" outlineLevel="1"/>
    <col min="16" max="16" width="13.88671875" style="76" customWidth="1" outlineLevel="1"/>
    <col min="18" max="28" width="8.88671875" hidden="1" customWidth="1" outlineLevel="1"/>
    <col min="29" max="29" width="8.88671875" collapsed="1"/>
    <col min="30" max="40" width="8.88671875" hidden="1" customWidth="1" outlineLevel="1"/>
    <col min="41" max="41" width="8.88671875" collapsed="1"/>
    <col min="42" max="51" width="8.88671875" hidden="1" customWidth="1" outlineLevel="1"/>
    <col min="52" max="52" width="8.88671875" collapsed="1"/>
    <col min="53" max="62" width="8.88671875" hidden="1" customWidth="1" outlineLevel="1"/>
    <col min="63" max="63" width="8.88671875" collapsed="1"/>
    <col min="64" max="72" width="8.88671875" hidden="1" customWidth="1" outlineLevel="1"/>
    <col min="73" max="73" width="8.88671875" collapsed="1"/>
  </cols>
  <sheetData>
    <row r="1" spans="1:72" ht="29.4" customHeight="1" x14ac:dyDescent="0.3">
      <c r="B1" s="175" t="s">
        <v>83</v>
      </c>
      <c r="C1" s="175"/>
      <c r="D1" s="175"/>
      <c r="E1" s="175"/>
      <c r="F1" s="175"/>
      <c r="G1" s="175"/>
      <c r="H1" s="175"/>
      <c r="I1" s="175"/>
      <c r="J1" s="176" t="s">
        <v>133</v>
      </c>
      <c r="K1" s="176"/>
      <c r="L1" s="176"/>
      <c r="M1" s="176"/>
      <c r="N1" s="176"/>
      <c r="O1" s="176"/>
      <c r="P1" s="176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</row>
    <row r="2" spans="1:72" s="68" customFormat="1" ht="32.25" customHeight="1" x14ac:dyDescent="0.3">
      <c r="A2"/>
      <c r="B2" s="44" t="s">
        <v>80</v>
      </c>
      <c r="C2" s="177" t="s">
        <v>81</v>
      </c>
      <c r="D2" s="177"/>
      <c r="E2" s="177"/>
      <c r="F2" s="177"/>
      <c r="G2" s="44" t="s">
        <v>1</v>
      </c>
      <c r="H2" s="44" t="s">
        <v>5</v>
      </c>
      <c r="I2" s="75" t="s">
        <v>136</v>
      </c>
      <c r="J2" s="57" t="s">
        <v>137</v>
      </c>
      <c r="K2" s="77" t="s">
        <v>138</v>
      </c>
      <c r="L2" s="78" t="s">
        <v>132</v>
      </c>
      <c r="M2" s="79" t="s">
        <v>129</v>
      </c>
      <c r="N2" s="79" t="s">
        <v>134</v>
      </c>
      <c r="O2" s="79" t="s">
        <v>135</v>
      </c>
      <c r="P2" s="79" t="s">
        <v>131</v>
      </c>
      <c r="Q2" s="58" t="s">
        <v>84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60" t="s">
        <v>13</v>
      </c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2" t="s">
        <v>88</v>
      </c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4" t="s">
        <v>87</v>
      </c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6" t="s">
        <v>10</v>
      </c>
      <c r="BL2" s="67"/>
      <c r="BM2" s="67"/>
      <c r="BN2" s="67"/>
      <c r="BO2" s="67"/>
      <c r="BP2" s="67"/>
      <c r="BQ2" s="67"/>
      <c r="BR2" s="67"/>
      <c r="BS2" s="67"/>
      <c r="BT2" s="67"/>
    </row>
    <row r="3" spans="1:72" x14ac:dyDescent="0.3">
      <c r="B3" s="45">
        <v>1</v>
      </c>
      <c r="C3" s="172">
        <f>'SİPARİŞ FORMU'!$C8</f>
        <v>0</v>
      </c>
      <c r="D3" s="173"/>
      <c r="E3" s="173"/>
      <c r="F3" s="174"/>
      <c r="G3" s="46">
        <f>'SİPARİŞ FORMU'!$G8</f>
        <v>0</v>
      </c>
      <c r="H3" s="47">
        <f>'SİPARİŞ FORMU'!$H8</f>
        <v>0</v>
      </c>
      <c r="I3" s="69">
        <f>'SİPARİŞ FORMU'!$I8</f>
        <v>0</v>
      </c>
      <c r="J3" s="83">
        <f>No.1!$D$9</f>
        <v>0</v>
      </c>
      <c r="K3" s="50">
        <f>No.1!$D$10</f>
        <v>0</v>
      </c>
      <c r="L3" s="84">
        <f>No.1!$D$12</f>
        <v>0</v>
      </c>
      <c r="M3" s="48">
        <f>No.1!$D$13</f>
        <v>0</v>
      </c>
      <c r="N3" s="84">
        <f>J3-L3</f>
        <v>0</v>
      </c>
      <c r="O3" s="48">
        <f>K3-M3</f>
        <v>0</v>
      </c>
      <c r="P3" s="81" t="e">
        <f>J3/I3</f>
        <v>#DIV/0!</v>
      </c>
      <c r="Q3" s="51">
        <f>SUM(R3:AB3)</f>
        <v>0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52">
        <f t="shared" ref="AC3:AC32" si="0">SUM(AD3:AN3)</f>
        <v>0</v>
      </c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>
        <f>SUM(AP3:AY3)</f>
        <v>0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5"/>
      <c r="BL3" s="55"/>
      <c r="BM3" s="55"/>
      <c r="BN3" s="55"/>
      <c r="BO3" s="55"/>
      <c r="BP3" s="55"/>
      <c r="BQ3" s="55"/>
      <c r="BR3" s="55"/>
      <c r="BS3" s="55"/>
      <c r="BT3" s="55"/>
    </row>
    <row r="4" spans="1:72" x14ac:dyDescent="0.3">
      <c r="B4" s="45">
        <v>2</v>
      </c>
      <c r="C4" s="172">
        <f>'SİPARİŞ FORMU'!$C9</f>
        <v>0</v>
      </c>
      <c r="D4" s="173"/>
      <c r="E4" s="173"/>
      <c r="F4" s="174"/>
      <c r="G4" s="46">
        <f>'SİPARİŞ FORMU'!$G9</f>
        <v>0</v>
      </c>
      <c r="H4" s="47">
        <f>'SİPARİŞ FORMU'!$H9</f>
        <v>0</v>
      </c>
      <c r="I4" s="69">
        <f>'SİPARİŞ FORMU'!$I9</f>
        <v>0</v>
      </c>
      <c r="J4" s="83">
        <f>No.2!$D$9</f>
        <v>0</v>
      </c>
      <c r="K4" s="50">
        <f>No.2!$D$10</f>
        <v>0</v>
      </c>
      <c r="L4" s="84">
        <f>No.2!$D$12</f>
        <v>0</v>
      </c>
      <c r="M4" s="48">
        <f>No.2!$D$13</f>
        <v>0</v>
      </c>
      <c r="N4" s="84">
        <f t="shared" ref="N4:N32" si="1">J4-L4</f>
        <v>0</v>
      </c>
      <c r="O4" s="48">
        <f t="shared" ref="O4:O32" si="2">K4-M4</f>
        <v>0</v>
      </c>
      <c r="P4" s="81" t="e">
        <f t="shared" ref="P4:P32" si="3">J4/I4</f>
        <v>#DIV/0!</v>
      </c>
      <c r="Q4" s="51">
        <f t="shared" ref="Q4:Q32" si="4">SUM(R4:AB4)</f>
        <v>0</v>
      </c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2">
        <f>SUM(AD4:AN4)</f>
        <v>0</v>
      </c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3">
        <f t="shared" ref="AO4:AO32" si="5">SUM(AP4:AY4)</f>
        <v>0</v>
      </c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5"/>
      <c r="BL4" s="55"/>
      <c r="BM4" s="55"/>
      <c r="BN4" s="55"/>
      <c r="BO4" s="55"/>
      <c r="BP4" s="55"/>
      <c r="BQ4" s="55"/>
      <c r="BR4" s="55"/>
      <c r="BS4" s="55"/>
      <c r="BT4" s="55"/>
    </row>
    <row r="5" spans="1:72" x14ac:dyDescent="0.3">
      <c r="B5" s="45">
        <v>3</v>
      </c>
      <c r="C5" s="172">
        <f>'SİPARİŞ FORMU'!$C10</f>
        <v>0</v>
      </c>
      <c r="D5" s="173"/>
      <c r="E5" s="173"/>
      <c r="F5" s="174"/>
      <c r="G5" s="46">
        <f>'SİPARİŞ FORMU'!$G10</f>
        <v>0</v>
      </c>
      <c r="H5" s="47">
        <f>'SİPARİŞ FORMU'!$H10</f>
        <v>0</v>
      </c>
      <c r="I5" s="69">
        <f>'SİPARİŞ FORMU'!$I10</f>
        <v>0</v>
      </c>
      <c r="J5" s="83">
        <f>No.3!$D$9</f>
        <v>0</v>
      </c>
      <c r="K5" s="50">
        <f>No.3!$D$10</f>
        <v>0</v>
      </c>
      <c r="L5" s="84">
        <f>No.3!$D$12</f>
        <v>0</v>
      </c>
      <c r="M5" s="48">
        <f>No.3!$D$13</f>
        <v>0</v>
      </c>
      <c r="N5" s="84">
        <f t="shared" si="1"/>
        <v>0</v>
      </c>
      <c r="O5" s="48">
        <f t="shared" si="2"/>
        <v>0</v>
      </c>
      <c r="P5" s="81" t="e">
        <f t="shared" si="3"/>
        <v>#DIV/0!</v>
      </c>
      <c r="Q5" s="51">
        <f t="shared" si="4"/>
        <v>0</v>
      </c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52">
        <f t="shared" si="0"/>
        <v>0</v>
      </c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3">
        <f t="shared" si="5"/>
        <v>0</v>
      </c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5"/>
      <c r="BL5" s="55"/>
      <c r="BM5" s="55"/>
      <c r="BN5" s="55"/>
      <c r="BO5" s="55"/>
      <c r="BP5" s="55"/>
      <c r="BQ5" s="55"/>
      <c r="BR5" s="55"/>
      <c r="BS5" s="55"/>
      <c r="BT5" s="55"/>
    </row>
    <row r="6" spans="1:72" x14ac:dyDescent="0.3">
      <c r="B6" s="45">
        <v>4</v>
      </c>
      <c r="C6" s="172">
        <f>'SİPARİŞ FORMU'!$C11</f>
        <v>0</v>
      </c>
      <c r="D6" s="173"/>
      <c r="E6" s="173"/>
      <c r="F6" s="174"/>
      <c r="G6" s="46">
        <f>'SİPARİŞ FORMU'!$G11</f>
        <v>0</v>
      </c>
      <c r="H6" s="47">
        <f>'SİPARİŞ FORMU'!$H11</f>
        <v>0</v>
      </c>
      <c r="I6" s="69">
        <f>'SİPARİŞ FORMU'!$I11</f>
        <v>0</v>
      </c>
      <c r="J6" s="83">
        <f>No.4!$D$9</f>
        <v>0</v>
      </c>
      <c r="K6" s="50">
        <f>No.4!$D$10</f>
        <v>0</v>
      </c>
      <c r="L6" s="84">
        <f>No.4!$D$12</f>
        <v>0</v>
      </c>
      <c r="M6" s="48">
        <f>No.4!$D$13</f>
        <v>0</v>
      </c>
      <c r="N6" s="84">
        <f t="shared" si="1"/>
        <v>0</v>
      </c>
      <c r="O6" s="48">
        <f t="shared" si="2"/>
        <v>0</v>
      </c>
      <c r="P6" s="81" t="e">
        <f t="shared" si="3"/>
        <v>#DIV/0!</v>
      </c>
      <c r="Q6" s="51">
        <f t="shared" si="4"/>
        <v>0</v>
      </c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52">
        <f t="shared" si="0"/>
        <v>0</v>
      </c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3">
        <f t="shared" si="5"/>
        <v>0</v>
      </c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5"/>
      <c r="BL6" s="55"/>
      <c r="BM6" s="55"/>
      <c r="BN6" s="55"/>
      <c r="BO6" s="55"/>
      <c r="BP6" s="55"/>
      <c r="BQ6" s="55"/>
      <c r="BR6" s="55"/>
      <c r="BS6" s="55"/>
      <c r="BT6" s="55"/>
    </row>
    <row r="7" spans="1:72" x14ac:dyDescent="0.3">
      <c r="B7" s="45">
        <v>5</v>
      </c>
      <c r="C7" s="172">
        <f>'SİPARİŞ FORMU'!$C12</f>
        <v>0</v>
      </c>
      <c r="D7" s="173"/>
      <c r="E7" s="173"/>
      <c r="F7" s="174"/>
      <c r="G7" s="46">
        <f>'SİPARİŞ FORMU'!$G12</f>
        <v>0</v>
      </c>
      <c r="H7" s="47">
        <f>'SİPARİŞ FORMU'!$H12</f>
        <v>0</v>
      </c>
      <c r="I7" s="69">
        <f>'SİPARİŞ FORMU'!$I12</f>
        <v>0</v>
      </c>
      <c r="J7" s="83">
        <f>No.5!$D$9</f>
        <v>0</v>
      </c>
      <c r="K7" s="50">
        <f>No.5!$D$10</f>
        <v>0</v>
      </c>
      <c r="L7" s="84">
        <f>No.5!$D$12</f>
        <v>0</v>
      </c>
      <c r="M7" s="48">
        <f>No.5!$D$13</f>
        <v>0</v>
      </c>
      <c r="N7" s="84">
        <f t="shared" si="1"/>
        <v>0</v>
      </c>
      <c r="O7" s="48">
        <f t="shared" si="2"/>
        <v>0</v>
      </c>
      <c r="P7" s="81" t="e">
        <f t="shared" si="3"/>
        <v>#DIV/0!</v>
      </c>
      <c r="Q7" s="51">
        <f t="shared" si="4"/>
        <v>0</v>
      </c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52">
        <f t="shared" si="0"/>
        <v>0</v>
      </c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3">
        <f t="shared" si="5"/>
        <v>0</v>
      </c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5"/>
      <c r="BL7" s="55"/>
      <c r="BM7" s="55"/>
      <c r="BN7" s="55"/>
      <c r="BO7" s="55"/>
      <c r="BP7" s="55"/>
      <c r="BQ7" s="55"/>
      <c r="BR7" s="55"/>
      <c r="BS7" s="55"/>
      <c r="BT7" s="55"/>
    </row>
    <row r="8" spans="1:72" x14ac:dyDescent="0.3">
      <c r="B8" s="45">
        <v>6</v>
      </c>
      <c r="C8" s="172">
        <f>'SİPARİŞ FORMU'!$C13</f>
        <v>0</v>
      </c>
      <c r="D8" s="173"/>
      <c r="E8" s="173"/>
      <c r="F8" s="174"/>
      <c r="G8" s="46">
        <f>'SİPARİŞ FORMU'!$G13</f>
        <v>0</v>
      </c>
      <c r="H8" s="47">
        <f>'SİPARİŞ FORMU'!$H13</f>
        <v>0</v>
      </c>
      <c r="I8" s="69">
        <f>'SİPARİŞ FORMU'!$I13</f>
        <v>0</v>
      </c>
      <c r="J8" s="83">
        <f>No.6!$D$9</f>
        <v>0</v>
      </c>
      <c r="K8" s="50">
        <f>No.6!$D$10</f>
        <v>0</v>
      </c>
      <c r="L8" s="84">
        <f>No.6!$D$12</f>
        <v>0</v>
      </c>
      <c r="M8" s="48">
        <f>No.6!$D$13</f>
        <v>0</v>
      </c>
      <c r="N8" s="84">
        <f t="shared" si="1"/>
        <v>0</v>
      </c>
      <c r="O8" s="48">
        <f t="shared" si="2"/>
        <v>0</v>
      </c>
      <c r="P8" s="81" t="e">
        <f t="shared" si="3"/>
        <v>#DIV/0!</v>
      </c>
      <c r="Q8" s="51">
        <f t="shared" si="4"/>
        <v>0</v>
      </c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52">
        <f t="shared" si="0"/>
        <v>0</v>
      </c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3">
        <f t="shared" si="5"/>
        <v>0</v>
      </c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5"/>
      <c r="BL8" s="55"/>
      <c r="BM8" s="55"/>
      <c r="BN8" s="55"/>
      <c r="BO8" s="55"/>
      <c r="BP8" s="55"/>
      <c r="BQ8" s="55"/>
      <c r="BR8" s="55"/>
      <c r="BS8" s="55"/>
      <c r="BT8" s="55"/>
    </row>
    <row r="9" spans="1:72" x14ac:dyDescent="0.3">
      <c r="B9" s="45">
        <v>7</v>
      </c>
      <c r="C9" s="172">
        <f>'SİPARİŞ FORMU'!$C14</f>
        <v>0</v>
      </c>
      <c r="D9" s="173"/>
      <c r="E9" s="173"/>
      <c r="F9" s="174"/>
      <c r="G9" s="46">
        <f>'SİPARİŞ FORMU'!$G14</f>
        <v>0</v>
      </c>
      <c r="H9" s="47">
        <f>'SİPARİŞ FORMU'!$H14</f>
        <v>0</v>
      </c>
      <c r="I9" s="69">
        <f>'SİPARİŞ FORMU'!$I14</f>
        <v>0</v>
      </c>
      <c r="J9" s="83">
        <f>No.7!$D$9</f>
        <v>0</v>
      </c>
      <c r="K9" s="50">
        <f>No.7!$D$10</f>
        <v>0</v>
      </c>
      <c r="L9" s="84">
        <f>No.7!$D$12</f>
        <v>0</v>
      </c>
      <c r="M9" s="48">
        <f>No.7!$D$13</f>
        <v>0</v>
      </c>
      <c r="N9" s="84">
        <f t="shared" si="1"/>
        <v>0</v>
      </c>
      <c r="O9" s="48">
        <f t="shared" si="2"/>
        <v>0</v>
      </c>
      <c r="P9" s="81" t="e">
        <f t="shared" si="3"/>
        <v>#DIV/0!</v>
      </c>
      <c r="Q9" s="51">
        <f t="shared" si="4"/>
        <v>0</v>
      </c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52">
        <f t="shared" si="0"/>
        <v>0</v>
      </c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3">
        <f t="shared" si="5"/>
        <v>0</v>
      </c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5"/>
      <c r="BL9" s="55"/>
      <c r="BM9" s="55"/>
      <c r="BN9" s="55"/>
      <c r="BO9" s="55"/>
      <c r="BP9" s="55"/>
      <c r="BQ9" s="55"/>
      <c r="BR9" s="55"/>
      <c r="BS9" s="55"/>
      <c r="BT9" s="55"/>
    </row>
    <row r="10" spans="1:72" x14ac:dyDescent="0.3">
      <c r="B10" s="45">
        <v>8</v>
      </c>
      <c r="C10" s="172">
        <f>'SİPARİŞ FORMU'!$C15</f>
        <v>0</v>
      </c>
      <c r="D10" s="173"/>
      <c r="E10" s="173"/>
      <c r="F10" s="174"/>
      <c r="G10" s="46">
        <f>'SİPARİŞ FORMU'!$G15</f>
        <v>0</v>
      </c>
      <c r="H10" s="47">
        <f>'SİPARİŞ FORMU'!$H15</f>
        <v>0</v>
      </c>
      <c r="I10" s="69">
        <f>'SİPARİŞ FORMU'!$I15</f>
        <v>0</v>
      </c>
      <c r="J10" s="83">
        <f>No.8!$D$9</f>
        <v>0</v>
      </c>
      <c r="K10" s="50">
        <f>No.8!$D$10</f>
        <v>0</v>
      </c>
      <c r="L10" s="84">
        <f>No.8!$D$12</f>
        <v>0</v>
      </c>
      <c r="M10" s="48">
        <f>No.8!$D$13</f>
        <v>0</v>
      </c>
      <c r="N10" s="84">
        <f t="shared" si="1"/>
        <v>0</v>
      </c>
      <c r="O10" s="48">
        <f t="shared" si="2"/>
        <v>0</v>
      </c>
      <c r="P10" s="81" t="e">
        <f t="shared" si="3"/>
        <v>#DIV/0!</v>
      </c>
      <c r="Q10" s="51">
        <f t="shared" si="4"/>
        <v>0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52">
        <f t="shared" si="0"/>
        <v>0</v>
      </c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3">
        <f t="shared" si="5"/>
        <v>0</v>
      </c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5"/>
      <c r="BL10" s="55"/>
      <c r="BM10" s="55"/>
      <c r="BN10" s="55"/>
      <c r="BO10" s="55"/>
      <c r="BP10" s="55"/>
      <c r="BQ10" s="55"/>
      <c r="BR10" s="55"/>
      <c r="BS10" s="55"/>
      <c r="BT10" s="55"/>
    </row>
    <row r="11" spans="1:72" x14ac:dyDescent="0.3">
      <c r="B11" s="45">
        <v>9</v>
      </c>
      <c r="C11" s="172">
        <f>'SİPARİŞ FORMU'!$C16</f>
        <v>0</v>
      </c>
      <c r="D11" s="173"/>
      <c r="E11" s="173"/>
      <c r="F11" s="174"/>
      <c r="G11" s="46">
        <f>'SİPARİŞ FORMU'!$G16</f>
        <v>0</v>
      </c>
      <c r="H11" s="47">
        <f>'SİPARİŞ FORMU'!$H16</f>
        <v>0</v>
      </c>
      <c r="I11" s="47">
        <f>'SİPARİŞ FORMU'!$I16</f>
        <v>0</v>
      </c>
      <c r="J11" s="83">
        <f>No.9!$D$9</f>
        <v>0</v>
      </c>
      <c r="K11" s="50">
        <f>No.9!$D$10</f>
        <v>0</v>
      </c>
      <c r="L11" s="84">
        <f>No.9!$D$12</f>
        <v>0</v>
      </c>
      <c r="M11" s="48">
        <f>No.9!$D$13</f>
        <v>0</v>
      </c>
      <c r="N11" s="84">
        <f t="shared" si="1"/>
        <v>0</v>
      </c>
      <c r="O11" s="48">
        <f t="shared" si="2"/>
        <v>0</v>
      </c>
      <c r="P11" s="81" t="e">
        <f t="shared" si="3"/>
        <v>#DIV/0!</v>
      </c>
      <c r="Q11" s="51">
        <f t="shared" si="4"/>
        <v>0</v>
      </c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52">
        <f t="shared" si="0"/>
        <v>0</v>
      </c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3">
        <f t="shared" si="5"/>
        <v>0</v>
      </c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5"/>
      <c r="BL11" s="55"/>
      <c r="BM11" s="55"/>
      <c r="BN11" s="55"/>
      <c r="BO11" s="55"/>
      <c r="BP11" s="55"/>
      <c r="BQ11" s="55"/>
      <c r="BR11" s="55"/>
      <c r="BS11" s="55"/>
      <c r="BT11" s="55"/>
    </row>
    <row r="12" spans="1:72" x14ac:dyDescent="0.3">
      <c r="B12" s="45">
        <v>10</v>
      </c>
      <c r="C12" s="172">
        <f>'SİPARİŞ FORMU'!$C17</f>
        <v>0</v>
      </c>
      <c r="D12" s="173"/>
      <c r="E12" s="173"/>
      <c r="F12" s="174"/>
      <c r="G12" s="46">
        <f>'SİPARİŞ FORMU'!$G17</f>
        <v>0</v>
      </c>
      <c r="H12" s="47">
        <f>'SİPARİŞ FORMU'!$H17</f>
        <v>0</v>
      </c>
      <c r="I12" s="47">
        <f>'SİPARİŞ FORMU'!$I17</f>
        <v>0</v>
      </c>
      <c r="J12" s="83">
        <f>No.10!$D$9</f>
        <v>0</v>
      </c>
      <c r="K12" s="50">
        <f>No.10!$D$10</f>
        <v>0</v>
      </c>
      <c r="L12" s="84">
        <f>No.10!$D$12</f>
        <v>0</v>
      </c>
      <c r="M12" s="48">
        <f>No.10!$D$13</f>
        <v>0</v>
      </c>
      <c r="N12" s="84">
        <f t="shared" si="1"/>
        <v>0</v>
      </c>
      <c r="O12" s="48">
        <f t="shared" si="2"/>
        <v>0</v>
      </c>
      <c r="P12" s="81" t="e">
        <f t="shared" si="3"/>
        <v>#DIV/0!</v>
      </c>
      <c r="Q12" s="51">
        <f t="shared" si="4"/>
        <v>0</v>
      </c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52">
        <f t="shared" si="0"/>
        <v>0</v>
      </c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3">
        <f t="shared" si="5"/>
        <v>0</v>
      </c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5"/>
      <c r="BL12" s="55"/>
      <c r="BM12" s="55"/>
      <c r="BN12" s="55"/>
      <c r="BO12" s="55"/>
      <c r="BP12" s="55"/>
      <c r="BQ12" s="55"/>
      <c r="BR12" s="55"/>
      <c r="BS12" s="55"/>
      <c r="BT12" s="55"/>
    </row>
    <row r="13" spans="1:72" outlineLevel="1" x14ac:dyDescent="0.3">
      <c r="B13" s="45">
        <v>11</v>
      </c>
      <c r="C13" s="172">
        <f>'SİPARİŞ FORMU'!$C18</f>
        <v>0</v>
      </c>
      <c r="D13" s="173"/>
      <c r="E13" s="173"/>
      <c r="F13" s="174"/>
      <c r="G13" s="46">
        <f>'SİPARİŞ FORMU'!$G18</f>
        <v>0</v>
      </c>
      <c r="H13" s="47">
        <f>'SİPARİŞ FORMU'!$H18</f>
        <v>0</v>
      </c>
      <c r="I13" s="47">
        <f>'SİPARİŞ FORMU'!$I18</f>
        <v>0</v>
      </c>
      <c r="J13" s="83">
        <f>No.11!$D$9</f>
        <v>0</v>
      </c>
      <c r="K13" s="50">
        <f>No.11!$D$10</f>
        <v>0</v>
      </c>
      <c r="L13" s="84">
        <f>No.11!$D$12</f>
        <v>0</v>
      </c>
      <c r="M13" s="48">
        <f>No.11!$D$13</f>
        <v>0</v>
      </c>
      <c r="N13" s="84">
        <f t="shared" si="1"/>
        <v>0</v>
      </c>
      <c r="O13" s="48">
        <f t="shared" si="2"/>
        <v>0</v>
      </c>
      <c r="P13" s="81" t="e">
        <f t="shared" si="3"/>
        <v>#DIV/0!</v>
      </c>
      <c r="Q13" s="51">
        <f t="shared" si="4"/>
        <v>0</v>
      </c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52">
        <f t="shared" si="0"/>
        <v>0</v>
      </c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3">
        <f t="shared" si="5"/>
        <v>0</v>
      </c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5"/>
      <c r="BL13" s="55"/>
      <c r="BM13" s="55"/>
      <c r="BN13" s="55"/>
      <c r="BO13" s="55"/>
      <c r="BP13" s="55"/>
      <c r="BQ13" s="55"/>
      <c r="BR13" s="55"/>
      <c r="BS13" s="55"/>
      <c r="BT13" s="55"/>
    </row>
    <row r="14" spans="1:72" outlineLevel="1" x14ac:dyDescent="0.3">
      <c r="B14" s="45">
        <v>12</v>
      </c>
      <c r="C14" s="172">
        <f>'SİPARİŞ FORMU'!$C19</f>
        <v>0</v>
      </c>
      <c r="D14" s="173"/>
      <c r="E14" s="173"/>
      <c r="F14" s="174"/>
      <c r="G14" s="46">
        <f>'SİPARİŞ FORMU'!$G19</f>
        <v>0</v>
      </c>
      <c r="H14" s="47">
        <f>'SİPARİŞ FORMU'!$H19</f>
        <v>0</v>
      </c>
      <c r="I14" s="47">
        <f>'SİPARİŞ FORMU'!$I19</f>
        <v>0</v>
      </c>
      <c r="J14" s="83">
        <f>No.12!$D$9</f>
        <v>0</v>
      </c>
      <c r="K14" s="50">
        <f>No.12!$D$10</f>
        <v>0</v>
      </c>
      <c r="L14" s="84">
        <f>No.12!$D$12</f>
        <v>0</v>
      </c>
      <c r="M14" s="48">
        <f>No.12!$D$13</f>
        <v>0</v>
      </c>
      <c r="N14" s="84">
        <f t="shared" si="1"/>
        <v>0</v>
      </c>
      <c r="O14" s="48">
        <f t="shared" si="2"/>
        <v>0</v>
      </c>
      <c r="P14" s="81" t="e">
        <f t="shared" si="3"/>
        <v>#DIV/0!</v>
      </c>
      <c r="Q14" s="51">
        <f t="shared" si="4"/>
        <v>0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52">
        <f t="shared" si="0"/>
        <v>0</v>
      </c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3">
        <f t="shared" si="5"/>
        <v>0</v>
      </c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5"/>
      <c r="BL14" s="55"/>
      <c r="BM14" s="55"/>
      <c r="BN14" s="55"/>
      <c r="BO14" s="55"/>
      <c r="BP14" s="55"/>
      <c r="BQ14" s="55"/>
      <c r="BR14" s="55"/>
      <c r="BS14" s="55"/>
      <c r="BT14" s="55"/>
    </row>
    <row r="15" spans="1:72" outlineLevel="1" x14ac:dyDescent="0.3">
      <c r="B15" s="45">
        <v>13</v>
      </c>
      <c r="C15" s="172">
        <f>'SİPARİŞ FORMU'!$C20</f>
        <v>0</v>
      </c>
      <c r="D15" s="173"/>
      <c r="E15" s="173"/>
      <c r="F15" s="174"/>
      <c r="G15" s="46">
        <f>'SİPARİŞ FORMU'!$G20</f>
        <v>0</v>
      </c>
      <c r="H15" s="47">
        <f>'SİPARİŞ FORMU'!$H20</f>
        <v>0</v>
      </c>
      <c r="I15" s="47">
        <f>'SİPARİŞ FORMU'!$I20</f>
        <v>0</v>
      </c>
      <c r="J15" s="83">
        <f>No.13!$D$9</f>
        <v>0</v>
      </c>
      <c r="K15" s="50">
        <f>No.13!$D$10</f>
        <v>0</v>
      </c>
      <c r="L15" s="84">
        <f>No.13!$D$12</f>
        <v>0</v>
      </c>
      <c r="M15" s="48">
        <f>No.13!$D$13</f>
        <v>0</v>
      </c>
      <c r="N15" s="84">
        <f t="shared" si="1"/>
        <v>0</v>
      </c>
      <c r="O15" s="48">
        <f t="shared" si="2"/>
        <v>0</v>
      </c>
      <c r="P15" s="81" t="e">
        <f t="shared" si="3"/>
        <v>#DIV/0!</v>
      </c>
      <c r="Q15" s="51">
        <f t="shared" si="4"/>
        <v>0</v>
      </c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52">
        <f t="shared" si="0"/>
        <v>0</v>
      </c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3">
        <f t="shared" si="5"/>
        <v>0</v>
      </c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5"/>
      <c r="BL15" s="55"/>
      <c r="BM15" s="55"/>
      <c r="BN15" s="55"/>
      <c r="BO15" s="55"/>
      <c r="BP15" s="55"/>
      <c r="BQ15" s="55"/>
      <c r="BR15" s="55"/>
      <c r="BS15" s="55"/>
      <c r="BT15" s="55"/>
    </row>
    <row r="16" spans="1:72" outlineLevel="1" x14ac:dyDescent="0.3">
      <c r="B16" s="45">
        <v>14</v>
      </c>
      <c r="C16" s="172">
        <f>'SİPARİŞ FORMU'!$C21</f>
        <v>0</v>
      </c>
      <c r="D16" s="173"/>
      <c r="E16" s="173"/>
      <c r="F16" s="174"/>
      <c r="G16" s="46">
        <f>'SİPARİŞ FORMU'!$G21</f>
        <v>0</v>
      </c>
      <c r="H16" s="47">
        <f>'SİPARİŞ FORMU'!$H21</f>
        <v>0</v>
      </c>
      <c r="I16" s="47">
        <f>'SİPARİŞ FORMU'!$I21</f>
        <v>0</v>
      </c>
      <c r="J16" s="83">
        <f>No.14!$D$9</f>
        <v>0</v>
      </c>
      <c r="K16" s="50">
        <f>No.14!$D$10</f>
        <v>0</v>
      </c>
      <c r="L16" s="84">
        <f>No.14!$D$12</f>
        <v>0</v>
      </c>
      <c r="M16" s="48">
        <f>No.14!$D$13</f>
        <v>0</v>
      </c>
      <c r="N16" s="84">
        <f t="shared" si="1"/>
        <v>0</v>
      </c>
      <c r="O16" s="48">
        <f t="shared" si="2"/>
        <v>0</v>
      </c>
      <c r="P16" s="81" t="e">
        <f t="shared" si="3"/>
        <v>#DIV/0!</v>
      </c>
      <c r="Q16" s="51">
        <f t="shared" si="4"/>
        <v>0</v>
      </c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52">
        <f t="shared" si="0"/>
        <v>0</v>
      </c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3">
        <f t="shared" si="5"/>
        <v>0</v>
      </c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5"/>
      <c r="BL16" s="55"/>
      <c r="BM16" s="55"/>
      <c r="BN16" s="55"/>
      <c r="BO16" s="55"/>
      <c r="BP16" s="55"/>
      <c r="BQ16" s="55"/>
      <c r="BR16" s="55"/>
      <c r="BS16" s="55"/>
      <c r="BT16" s="55"/>
    </row>
    <row r="17" spans="2:72" outlineLevel="1" x14ac:dyDescent="0.3">
      <c r="B17" s="45">
        <v>15</v>
      </c>
      <c r="C17" s="172">
        <f>'SİPARİŞ FORMU'!$C22</f>
        <v>0</v>
      </c>
      <c r="D17" s="173"/>
      <c r="E17" s="173"/>
      <c r="F17" s="174"/>
      <c r="G17" s="46">
        <f>'SİPARİŞ FORMU'!$G22</f>
        <v>0</v>
      </c>
      <c r="H17" s="47">
        <f>'SİPARİŞ FORMU'!$H22</f>
        <v>0</v>
      </c>
      <c r="I17" s="47">
        <f>'SİPARİŞ FORMU'!$I22</f>
        <v>0</v>
      </c>
      <c r="J17" s="83">
        <f>No.15!$D$9</f>
        <v>0</v>
      </c>
      <c r="K17" s="50">
        <f>No.15!$D$10</f>
        <v>0</v>
      </c>
      <c r="L17" s="84">
        <f>No.15!$D$12</f>
        <v>0</v>
      </c>
      <c r="M17" s="48">
        <f>No.15!$D$13</f>
        <v>0</v>
      </c>
      <c r="N17" s="84">
        <f t="shared" si="1"/>
        <v>0</v>
      </c>
      <c r="O17" s="48">
        <f t="shared" si="2"/>
        <v>0</v>
      </c>
      <c r="P17" s="81" t="e">
        <f t="shared" si="3"/>
        <v>#DIV/0!</v>
      </c>
      <c r="Q17" s="51">
        <f t="shared" si="4"/>
        <v>0</v>
      </c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52">
        <f t="shared" si="0"/>
        <v>0</v>
      </c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3">
        <f t="shared" si="5"/>
        <v>0</v>
      </c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5"/>
      <c r="BL17" s="55"/>
      <c r="BM17" s="55"/>
      <c r="BN17" s="55"/>
      <c r="BO17" s="55"/>
      <c r="BP17" s="55"/>
      <c r="BQ17" s="55"/>
      <c r="BR17" s="55"/>
      <c r="BS17" s="55"/>
      <c r="BT17" s="55"/>
    </row>
    <row r="18" spans="2:72" outlineLevel="1" x14ac:dyDescent="0.3">
      <c r="B18" s="45">
        <v>16</v>
      </c>
      <c r="C18" s="172">
        <f>'SİPARİŞ FORMU'!$C23</f>
        <v>0</v>
      </c>
      <c r="D18" s="173"/>
      <c r="E18" s="173"/>
      <c r="F18" s="174"/>
      <c r="G18" s="46">
        <f>'SİPARİŞ FORMU'!$G23</f>
        <v>0</v>
      </c>
      <c r="H18" s="47">
        <f>'SİPARİŞ FORMU'!$H23</f>
        <v>0</v>
      </c>
      <c r="I18" s="47">
        <f>'SİPARİŞ FORMU'!$I23</f>
        <v>0</v>
      </c>
      <c r="J18" s="83">
        <f>No.16!$D$9</f>
        <v>0</v>
      </c>
      <c r="K18" s="50">
        <f>No.16!$D$10</f>
        <v>0</v>
      </c>
      <c r="L18" s="84">
        <f>No.16!$D$12</f>
        <v>0</v>
      </c>
      <c r="M18" s="48">
        <f>No.16!$D$13</f>
        <v>0</v>
      </c>
      <c r="N18" s="84">
        <f t="shared" si="1"/>
        <v>0</v>
      </c>
      <c r="O18" s="48">
        <f t="shared" si="2"/>
        <v>0</v>
      </c>
      <c r="P18" s="81" t="e">
        <f t="shared" si="3"/>
        <v>#DIV/0!</v>
      </c>
      <c r="Q18" s="51">
        <f t="shared" si="4"/>
        <v>0</v>
      </c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52">
        <f t="shared" si="0"/>
        <v>0</v>
      </c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3">
        <f t="shared" si="5"/>
        <v>0</v>
      </c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5"/>
      <c r="BL18" s="55"/>
      <c r="BM18" s="55"/>
      <c r="BN18" s="55"/>
      <c r="BO18" s="55"/>
      <c r="BP18" s="55"/>
      <c r="BQ18" s="55"/>
      <c r="BR18" s="55"/>
      <c r="BS18" s="55"/>
      <c r="BT18" s="55"/>
    </row>
    <row r="19" spans="2:72" outlineLevel="1" x14ac:dyDescent="0.3">
      <c r="B19" s="45">
        <v>17</v>
      </c>
      <c r="C19" s="172">
        <f>'SİPARİŞ FORMU'!$C24</f>
        <v>0</v>
      </c>
      <c r="D19" s="173"/>
      <c r="E19" s="173"/>
      <c r="F19" s="174"/>
      <c r="G19" s="46">
        <f>'SİPARİŞ FORMU'!$G24</f>
        <v>0</v>
      </c>
      <c r="H19" s="47">
        <f>'SİPARİŞ FORMU'!$H24</f>
        <v>0</v>
      </c>
      <c r="I19" s="47">
        <f>'SİPARİŞ FORMU'!$I24</f>
        <v>0</v>
      </c>
      <c r="J19" s="83">
        <f>No.17!$D$9</f>
        <v>0</v>
      </c>
      <c r="K19" s="50">
        <f>No.17!$D$10</f>
        <v>0</v>
      </c>
      <c r="L19" s="84">
        <f>No.17!$D$12</f>
        <v>0</v>
      </c>
      <c r="M19" s="48">
        <f>No.17!$D$13</f>
        <v>0</v>
      </c>
      <c r="N19" s="84">
        <f t="shared" si="1"/>
        <v>0</v>
      </c>
      <c r="O19" s="48">
        <f t="shared" si="2"/>
        <v>0</v>
      </c>
      <c r="P19" s="81" t="e">
        <f t="shared" si="3"/>
        <v>#DIV/0!</v>
      </c>
      <c r="Q19" s="51">
        <f t="shared" si="4"/>
        <v>0</v>
      </c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52">
        <f t="shared" si="0"/>
        <v>0</v>
      </c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3">
        <f t="shared" si="5"/>
        <v>0</v>
      </c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5"/>
      <c r="BL19" s="55"/>
      <c r="BM19" s="55"/>
      <c r="BN19" s="55"/>
      <c r="BO19" s="55"/>
      <c r="BP19" s="55"/>
      <c r="BQ19" s="55"/>
      <c r="BR19" s="55"/>
      <c r="BS19" s="55"/>
      <c r="BT19" s="55"/>
    </row>
    <row r="20" spans="2:72" outlineLevel="1" x14ac:dyDescent="0.3">
      <c r="B20" s="45">
        <v>18</v>
      </c>
      <c r="C20" s="172">
        <f>'SİPARİŞ FORMU'!$C25</f>
        <v>0</v>
      </c>
      <c r="D20" s="173"/>
      <c r="E20" s="173"/>
      <c r="F20" s="174"/>
      <c r="G20" s="46">
        <f>'SİPARİŞ FORMU'!$G25</f>
        <v>0</v>
      </c>
      <c r="H20" s="47">
        <f>'SİPARİŞ FORMU'!$H25</f>
        <v>0</v>
      </c>
      <c r="I20" s="47">
        <f>'SİPARİŞ FORMU'!$I25</f>
        <v>0</v>
      </c>
      <c r="J20" s="83">
        <f>No.18!$D$9</f>
        <v>0</v>
      </c>
      <c r="K20" s="50">
        <f>No.18!$D$10</f>
        <v>0</v>
      </c>
      <c r="L20" s="84">
        <f>No.18!$D$12</f>
        <v>0</v>
      </c>
      <c r="M20" s="48">
        <f>No.18!$D$13</f>
        <v>0</v>
      </c>
      <c r="N20" s="84">
        <f t="shared" si="1"/>
        <v>0</v>
      </c>
      <c r="O20" s="48">
        <f t="shared" si="2"/>
        <v>0</v>
      </c>
      <c r="P20" s="81" t="e">
        <f t="shared" si="3"/>
        <v>#DIV/0!</v>
      </c>
      <c r="Q20" s="51">
        <f t="shared" si="4"/>
        <v>0</v>
      </c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52">
        <f t="shared" si="0"/>
        <v>0</v>
      </c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3">
        <f t="shared" si="5"/>
        <v>0</v>
      </c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5"/>
      <c r="BL20" s="55"/>
      <c r="BM20" s="55"/>
      <c r="BN20" s="55"/>
      <c r="BO20" s="55"/>
      <c r="BP20" s="55"/>
      <c r="BQ20" s="55"/>
      <c r="BR20" s="55"/>
      <c r="BS20" s="55"/>
      <c r="BT20" s="55"/>
    </row>
    <row r="21" spans="2:72" outlineLevel="1" x14ac:dyDescent="0.3">
      <c r="B21" s="45">
        <v>19</v>
      </c>
      <c r="C21" s="172">
        <f>'SİPARİŞ FORMU'!$C26</f>
        <v>0</v>
      </c>
      <c r="D21" s="173"/>
      <c r="E21" s="173"/>
      <c r="F21" s="174"/>
      <c r="G21" s="46">
        <f>'SİPARİŞ FORMU'!$G26</f>
        <v>0</v>
      </c>
      <c r="H21" s="47">
        <f>'SİPARİŞ FORMU'!$H26</f>
        <v>0</v>
      </c>
      <c r="I21" s="47">
        <f>'SİPARİŞ FORMU'!$I26</f>
        <v>0</v>
      </c>
      <c r="J21" s="83">
        <f>No.19!$D$9</f>
        <v>0</v>
      </c>
      <c r="K21" s="50">
        <f>No.19!$D$10</f>
        <v>0</v>
      </c>
      <c r="L21" s="84">
        <f>No.19!$D$12</f>
        <v>0</v>
      </c>
      <c r="M21" s="48">
        <f>No.19!$D$13</f>
        <v>0</v>
      </c>
      <c r="N21" s="84">
        <f t="shared" si="1"/>
        <v>0</v>
      </c>
      <c r="O21" s="48">
        <f t="shared" si="2"/>
        <v>0</v>
      </c>
      <c r="P21" s="81" t="e">
        <f t="shared" si="3"/>
        <v>#DIV/0!</v>
      </c>
      <c r="Q21" s="51">
        <f t="shared" si="4"/>
        <v>0</v>
      </c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52">
        <f t="shared" si="0"/>
        <v>0</v>
      </c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3">
        <f t="shared" si="5"/>
        <v>0</v>
      </c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5"/>
      <c r="BL21" s="55"/>
      <c r="BM21" s="55"/>
      <c r="BN21" s="55"/>
      <c r="BO21" s="55"/>
      <c r="BP21" s="55"/>
      <c r="BQ21" s="55"/>
      <c r="BR21" s="55"/>
      <c r="BS21" s="55"/>
      <c r="BT21" s="55"/>
    </row>
    <row r="22" spans="2:72" outlineLevel="1" x14ac:dyDescent="0.3">
      <c r="B22" s="45">
        <v>20</v>
      </c>
      <c r="C22" s="172">
        <f>'SİPARİŞ FORMU'!$C27</f>
        <v>0</v>
      </c>
      <c r="D22" s="173"/>
      <c r="E22" s="173"/>
      <c r="F22" s="174"/>
      <c r="G22" s="46">
        <f>'SİPARİŞ FORMU'!$G27</f>
        <v>0</v>
      </c>
      <c r="H22" s="47">
        <f>'SİPARİŞ FORMU'!$H27</f>
        <v>0</v>
      </c>
      <c r="I22" s="47">
        <f>'SİPARİŞ FORMU'!$I27</f>
        <v>0</v>
      </c>
      <c r="J22" s="83">
        <f>No.20!$D$9</f>
        <v>0</v>
      </c>
      <c r="K22" s="50">
        <f>No.20!$D$10</f>
        <v>0</v>
      </c>
      <c r="L22" s="84">
        <f>No.20!$D$12</f>
        <v>0</v>
      </c>
      <c r="M22" s="48">
        <f>No.20!$D$13</f>
        <v>0</v>
      </c>
      <c r="N22" s="84">
        <f t="shared" si="1"/>
        <v>0</v>
      </c>
      <c r="O22" s="48"/>
      <c r="P22" s="81" t="e">
        <f t="shared" si="3"/>
        <v>#DIV/0!</v>
      </c>
      <c r="Q22" s="51">
        <f t="shared" si="4"/>
        <v>0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52">
        <f t="shared" si="0"/>
        <v>0</v>
      </c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3">
        <f t="shared" si="5"/>
        <v>0</v>
      </c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5"/>
      <c r="BL22" s="55"/>
      <c r="BM22" s="55"/>
      <c r="BN22" s="55"/>
      <c r="BO22" s="55"/>
      <c r="BP22" s="55"/>
      <c r="BQ22" s="55"/>
      <c r="BR22" s="55"/>
      <c r="BS22" s="55"/>
      <c r="BT22" s="55"/>
    </row>
    <row r="23" spans="2:72" outlineLevel="1" x14ac:dyDescent="0.3">
      <c r="B23" s="45">
        <v>21</v>
      </c>
      <c r="C23" s="172">
        <f>'SİPARİŞ FORMU'!$C28</f>
        <v>0</v>
      </c>
      <c r="D23" s="173"/>
      <c r="E23" s="173"/>
      <c r="F23" s="174"/>
      <c r="G23" s="46">
        <f>'SİPARİŞ FORMU'!$G28</f>
        <v>0</v>
      </c>
      <c r="H23" s="47">
        <f>'SİPARİŞ FORMU'!$H28</f>
        <v>0</v>
      </c>
      <c r="I23" s="47">
        <f>'SİPARİŞ FORMU'!$I28</f>
        <v>0</v>
      </c>
      <c r="J23" s="83">
        <f>No.21!$D$9</f>
        <v>0</v>
      </c>
      <c r="K23" s="50">
        <f>No.21!$D$10</f>
        <v>0</v>
      </c>
      <c r="L23" s="84">
        <f>No.21!$D$12</f>
        <v>0</v>
      </c>
      <c r="M23" s="48">
        <f>No.21!$D$13</f>
        <v>0</v>
      </c>
      <c r="N23" s="84">
        <f t="shared" si="1"/>
        <v>0</v>
      </c>
      <c r="O23" s="48">
        <f t="shared" si="2"/>
        <v>0</v>
      </c>
      <c r="P23" s="81" t="e">
        <f t="shared" si="3"/>
        <v>#DIV/0!</v>
      </c>
      <c r="Q23" s="51">
        <f t="shared" si="4"/>
        <v>0</v>
      </c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52">
        <f t="shared" si="0"/>
        <v>0</v>
      </c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3">
        <f t="shared" si="5"/>
        <v>0</v>
      </c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5"/>
      <c r="BL23" s="55"/>
      <c r="BM23" s="55"/>
      <c r="BN23" s="55"/>
      <c r="BO23" s="55"/>
      <c r="BP23" s="55"/>
      <c r="BQ23" s="55"/>
      <c r="BR23" s="55"/>
      <c r="BS23" s="55"/>
      <c r="BT23" s="55"/>
    </row>
    <row r="24" spans="2:72" outlineLevel="1" x14ac:dyDescent="0.3">
      <c r="B24" s="45">
        <v>22</v>
      </c>
      <c r="C24" s="172">
        <f>'SİPARİŞ FORMU'!$C29</f>
        <v>0</v>
      </c>
      <c r="D24" s="173"/>
      <c r="E24" s="173"/>
      <c r="F24" s="174"/>
      <c r="G24" s="46">
        <f>'SİPARİŞ FORMU'!$G29</f>
        <v>0</v>
      </c>
      <c r="H24" s="47">
        <f>'SİPARİŞ FORMU'!$H29</f>
        <v>0</v>
      </c>
      <c r="I24" s="47">
        <f>'SİPARİŞ FORMU'!$I29</f>
        <v>0</v>
      </c>
      <c r="J24" s="83">
        <f>No.22!$D$9</f>
        <v>0</v>
      </c>
      <c r="K24" s="50">
        <f>No.22!$D$10</f>
        <v>0</v>
      </c>
      <c r="L24" s="84">
        <f>No.22!$D$12</f>
        <v>0</v>
      </c>
      <c r="M24" s="48">
        <f>No.22!$D$13</f>
        <v>0</v>
      </c>
      <c r="N24" s="84">
        <f t="shared" si="1"/>
        <v>0</v>
      </c>
      <c r="O24" s="48">
        <f t="shared" si="2"/>
        <v>0</v>
      </c>
      <c r="P24" s="81" t="e">
        <f t="shared" si="3"/>
        <v>#DIV/0!</v>
      </c>
      <c r="Q24" s="51">
        <f t="shared" si="4"/>
        <v>0</v>
      </c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52">
        <f t="shared" si="0"/>
        <v>0</v>
      </c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3">
        <f t="shared" si="5"/>
        <v>0</v>
      </c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5"/>
      <c r="BL24" s="55"/>
      <c r="BM24" s="55"/>
      <c r="BN24" s="55"/>
      <c r="BO24" s="55"/>
      <c r="BP24" s="55"/>
      <c r="BQ24" s="55"/>
      <c r="BR24" s="55"/>
      <c r="BS24" s="55"/>
      <c r="BT24" s="55"/>
    </row>
    <row r="25" spans="2:72" outlineLevel="1" x14ac:dyDescent="0.3">
      <c r="B25" s="45">
        <v>23</v>
      </c>
      <c r="C25" s="172">
        <f>'SİPARİŞ FORMU'!$C30</f>
        <v>0</v>
      </c>
      <c r="D25" s="173"/>
      <c r="E25" s="173"/>
      <c r="F25" s="174"/>
      <c r="G25" s="46">
        <f>'SİPARİŞ FORMU'!$G30</f>
        <v>0</v>
      </c>
      <c r="H25" s="47">
        <f>'SİPARİŞ FORMU'!$H30</f>
        <v>0</v>
      </c>
      <c r="I25" s="47">
        <f>'SİPARİŞ FORMU'!$I30</f>
        <v>0</v>
      </c>
      <c r="J25" s="83">
        <f>No.23!$D$9</f>
        <v>0</v>
      </c>
      <c r="K25" s="50">
        <f>No.23!$D$10</f>
        <v>0</v>
      </c>
      <c r="L25" s="84">
        <f>No.23!$D$12</f>
        <v>0</v>
      </c>
      <c r="M25" s="48">
        <f>No.23!$D$13</f>
        <v>0</v>
      </c>
      <c r="N25" s="84">
        <f t="shared" si="1"/>
        <v>0</v>
      </c>
      <c r="O25" s="48">
        <f t="shared" si="2"/>
        <v>0</v>
      </c>
      <c r="P25" s="81" t="e">
        <f t="shared" si="3"/>
        <v>#DIV/0!</v>
      </c>
      <c r="Q25" s="51">
        <f t="shared" si="4"/>
        <v>0</v>
      </c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52">
        <f t="shared" si="0"/>
        <v>0</v>
      </c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3">
        <f t="shared" si="5"/>
        <v>0</v>
      </c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5"/>
      <c r="BL25" s="55"/>
      <c r="BM25" s="55"/>
      <c r="BN25" s="55"/>
      <c r="BO25" s="55"/>
      <c r="BP25" s="55"/>
      <c r="BQ25" s="55"/>
      <c r="BR25" s="55"/>
      <c r="BS25" s="55"/>
      <c r="BT25" s="55"/>
    </row>
    <row r="26" spans="2:72" outlineLevel="1" x14ac:dyDescent="0.3">
      <c r="B26" s="45">
        <v>24</v>
      </c>
      <c r="C26" s="172">
        <f>'SİPARİŞ FORMU'!$C31</f>
        <v>0</v>
      </c>
      <c r="D26" s="173"/>
      <c r="E26" s="173"/>
      <c r="F26" s="174"/>
      <c r="G26" s="46">
        <f>'SİPARİŞ FORMU'!$G31</f>
        <v>0</v>
      </c>
      <c r="H26" s="47">
        <f>'SİPARİŞ FORMU'!$H31</f>
        <v>0</v>
      </c>
      <c r="I26" s="47">
        <f>'SİPARİŞ FORMU'!$I31</f>
        <v>0</v>
      </c>
      <c r="J26" s="83">
        <f>No.24!$D$9</f>
        <v>0</v>
      </c>
      <c r="K26" s="50">
        <f>No.24!$D$10</f>
        <v>0</v>
      </c>
      <c r="L26" s="84">
        <f>No.24!$D$12</f>
        <v>0</v>
      </c>
      <c r="M26" s="48">
        <f>No.24!$D$13</f>
        <v>0</v>
      </c>
      <c r="N26" s="84">
        <f t="shared" si="1"/>
        <v>0</v>
      </c>
      <c r="O26" s="48">
        <f t="shared" si="2"/>
        <v>0</v>
      </c>
      <c r="P26" s="81" t="e">
        <f t="shared" si="3"/>
        <v>#DIV/0!</v>
      </c>
      <c r="Q26" s="51">
        <f t="shared" si="4"/>
        <v>0</v>
      </c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52">
        <f t="shared" si="0"/>
        <v>0</v>
      </c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3">
        <f t="shared" si="5"/>
        <v>0</v>
      </c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5"/>
      <c r="BL26" s="55"/>
      <c r="BM26" s="55"/>
      <c r="BN26" s="55"/>
      <c r="BO26" s="55"/>
      <c r="BP26" s="55"/>
      <c r="BQ26" s="55"/>
      <c r="BR26" s="55"/>
      <c r="BS26" s="55"/>
      <c r="BT26" s="55"/>
    </row>
    <row r="27" spans="2:72" outlineLevel="1" x14ac:dyDescent="0.3">
      <c r="B27" s="45">
        <v>25</v>
      </c>
      <c r="C27" s="172">
        <f>'SİPARİŞ FORMU'!$C32</f>
        <v>0</v>
      </c>
      <c r="D27" s="173"/>
      <c r="E27" s="173"/>
      <c r="F27" s="174"/>
      <c r="G27" s="46">
        <f>'SİPARİŞ FORMU'!$G32</f>
        <v>0</v>
      </c>
      <c r="H27" s="47">
        <f>'SİPARİŞ FORMU'!$H32</f>
        <v>0</v>
      </c>
      <c r="I27" s="47">
        <f>'SİPARİŞ FORMU'!$I32</f>
        <v>0</v>
      </c>
      <c r="J27" s="83">
        <f>No.25!$D$9</f>
        <v>0</v>
      </c>
      <c r="K27" s="50">
        <f>No.25!$D$10</f>
        <v>0</v>
      </c>
      <c r="L27" s="84">
        <f>No.25!$D$12</f>
        <v>0</v>
      </c>
      <c r="M27" s="48">
        <f>No.25!$D$13</f>
        <v>0</v>
      </c>
      <c r="N27" s="84">
        <f t="shared" si="1"/>
        <v>0</v>
      </c>
      <c r="O27" s="48">
        <f t="shared" si="2"/>
        <v>0</v>
      </c>
      <c r="P27" s="81" t="e">
        <f t="shared" si="3"/>
        <v>#DIV/0!</v>
      </c>
      <c r="Q27" s="51">
        <f t="shared" si="4"/>
        <v>0</v>
      </c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52">
        <f t="shared" si="0"/>
        <v>0</v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3">
        <f t="shared" si="5"/>
        <v>0</v>
      </c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5"/>
      <c r="BL27" s="55"/>
      <c r="BM27" s="55"/>
      <c r="BN27" s="55"/>
      <c r="BO27" s="55"/>
      <c r="BP27" s="55"/>
      <c r="BQ27" s="55"/>
      <c r="BR27" s="55"/>
      <c r="BS27" s="55"/>
      <c r="BT27" s="55"/>
    </row>
    <row r="28" spans="2:72" outlineLevel="1" x14ac:dyDescent="0.3">
      <c r="B28" s="45">
        <v>26</v>
      </c>
      <c r="C28" s="172">
        <f>'SİPARİŞ FORMU'!$C33</f>
        <v>0</v>
      </c>
      <c r="D28" s="173"/>
      <c r="E28" s="173"/>
      <c r="F28" s="174"/>
      <c r="G28" s="46">
        <f>'SİPARİŞ FORMU'!$G33</f>
        <v>0</v>
      </c>
      <c r="H28" s="47">
        <f>'SİPARİŞ FORMU'!$H33</f>
        <v>0</v>
      </c>
      <c r="I28" s="47">
        <f>'SİPARİŞ FORMU'!$I33</f>
        <v>0</v>
      </c>
      <c r="J28" s="83">
        <f>No.26!$D$9</f>
        <v>0</v>
      </c>
      <c r="K28" s="50">
        <f>No.26!$D$10</f>
        <v>0</v>
      </c>
      <c r="L28" s="84">
        <f>No.26!$D$12</f>
        <v>0</v>
      </c>
      <c r="M28" s="48">
        <f>No.26!$D$13</f>
        <v>0</v>
      </c>
      <c r="N28" s="84">
        <f t="shared" si="1"/>
        <v>0</v>
      </c>
      <c r="O28" s="48">
        <f t="shared" si="2"/>
        <v>0</v>
      </c>
      <c r="P28" s="81" t="e">
        <f t="shared" si="3"/>
        <v>#DIV/0!</v>
      </c>
      <c r="Q28" s="51">
        <f t="shared" si="4"/>
        <v>0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52">
        <f t="shared" si="0"/>
        <v>0</v>
      </c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3">
        <f t="shared" si="5"/>
        <v>0</v>
      </c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5"/>
      <c r="BL28" s="55"/>
      <c r="BM28" s="55"/>
      <c r="BN28" s="55"/>
      <c r="BO28" s="55"/>
      <c r="BP28" s="55"/>
      <c r="BQ28" s="55"/>
      <c r="BR28" s="55"/>
      <c r="BS28" s="55"/>
      <c r="BT28" s="55"/>
    </row>
    <row r="29" spans="2:72" outlineLevel="1" x14ac:dyDescent="0.3">
      <c r="B29" s="45">
        <v>27</v>
      </c>
      <c r="C29" s="172">
        <f>'SİPARİŞ FORMU'!$C34</f>
        <v>0</v>
      </c>
      <c r="D29" s="173"/>
      <c r="E29" s="173"/>
      <c r="F29" s="174"/>
      <c r="G29" s="46">
        <f>'SİPARİŞ FORMU'!$G34</f>
        <v>0</v>
      </c>
      <c r="H29" s="47">
        <f>'SİPARİŞ FORMU'!$H34</f>
        <v>0</v>
      </c>
      <c r="I29" s="47">
        <f>'SİPARİŞ FORMU'!$I34</f>
        <v>0</v>
      </c>
      <c r="J29" s="83">
        <f>No.27!$D$9</f>
        <v>0</v>
      </c>
      <c r="K29" s="50">
        <f>No.27!$D$10</f>
        <v>0</v>
      </c>
      <c r="L29" s="84">
        <f>No.27!$D$12</f>
        <v>0</v>
      </c>
      <c r="M29" s="48">
        <f>No.27!$D$13</f>
        <v>0</v>
      </c>
      <c r="N29" s="84">
        <f t="shared" si="1"/>
        <v>0</v>
      </c>
      <c r="O29" s="48">
        <f t="shared" si="2"/>
        <v>0</v>
      </c>
      <c r="P29" s="81" t="e">
        <f t="shared" si="3"/>
        <v>#DIV/0!</v>
      </c>
      <c r="Q29" s="51">
        <f t="shared" si="4"/>
        <v>0</v>
      </c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52">
        <f t="shared" si="0"/>
        <v>0</v>
      </c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3">
        <f t="shared" si="5"/>
        <v>0</v>
      </c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5"/>
      <c r="BL29" s="55"/>
      <c r="BM29" s="55"/>
      <c r="BN29" s="55"/>
      <c r="BO29" s="55"/>
      <c r="BP29" s="55"/>
      <c r="BQ29" s="55"/>
      <c r="BR29" s="55"/>
      <c r="BS29" s="55"/>
      <c r="BT29" s="55"/>
    </row>
    <row r="30" spans="2:72" outlineLevel="1" x14ac:dyDescent="0.3">
      <c r="B30" s="45">
        <v>28</v>
      </c>
      <c r="C30" s="172">
        <f>'SİPARİŞ FORMU'!$C35</f>
        <v>0</v>
      </c>
      <c r="D30" s="173"/>
      <c r="E30" s="173"/>
      <c r="F30" s="174"/>
      <c r="G30" s="46">
        <f>'SİPARİŞ FORMU'!$G35</f>
        <v>0</v>
      </c>
      <c r="H30" s="47">
        <f>'SİPARİŞ FORMU'!$H35</f>
        <v>0</v>
      </c>
      <c r="I30" s="47">
        <f>'SİPARİŞ FORMU'!$I35</f>
        <v>0</v>
      </c>
      <c r="J30" s="83">
        <f>No.28!$D$9</f>
        <v>0</v>
      </c>
      <c r="K30" s="50">
        <f>No.28!$D$10</f>
        <v>0</v>
      </c>
      <c r="L30" s="84">
        <f>No.28!$D$12</f>
        <v>0</v>
      </c>
      <c r="M30" s="48">
        <f>No.28!$D$13</f>
        <v>0</v>
      </c>
      <c r="N30" s="84">
        <f t="shared" si="1"/>
        <v>0</v>
      </c>
      <c r="O30" s="48">
        <f t="shared" si="2"/>
        <v>0</v>
      </c>
      <c r="P30" s="81" t="e">
        <f t="shared" si="3"/>
        <v>#DIV/0!</v>
      </c>
      <c r="Q30" s="51">
        <f t="shared" si="4"/>
        <v>0</v>
      </c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52">
        <f t="shared" si="0"/>
        <v>0</v>
      </c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3">
        <f t="shared" si="5"/>
        <v>0</v>
      </c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5"/>
      <c r="BL30" s="55"/>
      <c r="BM30" s="55"/>
      <c r="BN30" s="55"/>
      <c r="BO30" s="55"/>
      <c r="BP30" s="55"/>
      <c r="BQ30" s="55"/>
      <c r="BR30" s="55"/>
      <c r="BS30" s="55"/>
      <c r="BT30" s="55"/>
    </row>
    <row r="31" spans="2:72" outlineLevel="1" x14ac:dyDescent="0.3">
      <c r="B31" s="45">
        <v>29</v>
      </c>
      <c r="C31" s="172">
        <f>'SİPARİŞ FORMU'!$C36</f>
        <v>0</v>
      </c>
      <c r="D31" s="173"/>
      <c r="E31" s="173"/>
      <c r="F31" s="174"/>
      <c r="G31" s="46">
        <f>'SİPARİŞ FORMU'!$G36</f>
        <v>0</v>
      </c>
      <c r="H31" s="47">
        <f>'SİPARİŞ FORMU'!$H36</f>
        <v>0</v>
      </c>
      <c r="I31" s="47">
        <f>'SİPARİŞ FORMU'!$I36</f>
        <v>0</v>
      </c>
      <c r="J31" s="83">
        <f>No.29!$D$9</f>
        <v>0</v>
      </c>
      <c r="K31" s="50">
        <f>No.29!$D$10</f>
        <v>0</v>
      </c>
      <c r="L31" s="84">
        <f>No.29!$D$12</f>
        <v>0</v>
      </c>
      <c r="M31" s="48">
        <f>No.29!$D$13</f>
        <v>0</v>
      </c>
      <c r="N31" s="84">
        <f t="shared" si="1"/>
        <v>0</v>
      </c>
      <c r="O31" s="48">
        <f t="shared" si="2"/>
        <v>0</v>
      </c>
      <c r="P31" s="81" t="e">
        <f t="shared" si="3"/>
        <v>#DIV/0!</v>
      </c>
      <c r="Q31" s="51">
        <f t="shared" si="4"/>
        <v>0</v>
      </c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52">
        <f t="shared" si="0"/>
        <v>0</v>
      </c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3">
        <f t="shared" si="5"/>
        <v>0</v>
      </c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5"/>
      <c r="BL31" s="55"/>
      <c r="BM31" s="55"/>
      <c r="BN31" s="55"/>
      <c r="BO31" s="55"/>
      <c r="BP31" s="55"/>
      <c r="BQ31" s="55"/>
      <c r="BR31" s="55"/>
      <c r="BS31" s="55"/>
      <c r="BT31" s="55"/>
    </row>
    <row r="32" spans="2:72" outlineLevel="1" x14ac:dyDescent="0.3">
      <c r="B32" s="45">
        <v>30</v>
      </c>
      <c r="C32" s="172">
        <f>'SİPARİŞ FORMU'!$C37</f>
        <v>0</v>
      </c>
      <c r="D32" s="173"/>
      <c r="E32" s="173"/>
      <c r="F32" s="174"/>
      <c r="G32" s="46">
        <f>'SİPARİŞ FORMU'!$G37</f>
        <v>0</v>
      </c>
      <c r="H32" s="47">
        <f>'SİPARİŞ FORMU'!$H37</f>
        <v>0</v>
      </c>
      <c r="I32" s="47">
        <f>'SİPARİŞ FORMU'!$I37</f>
        <v>0</v>
      </c>
      <c r="J32" s="83">
        <f>No.30!$D$9</f>
        <v>0</v>
      </c>
      <c r="K32" s="50">
        <f>No.30!$D$10</f>
        <v>0</v>
      </c>
      <c r="L32" s="84">
        <f>No.30!$D$12</f>
        <v>0</v>
      </c>
      <c r="M32" s="48">
        <f>No.30!$D$13</f>
        <v>0</v>
      </c>
      <c r="N32" s="84">
        <f t="shared" si="1"/>
        <v>0</v>
      </c>
      <c r="O32" s="48">
        <f t="shared" si="2"/>
        <v>0</v>
      </c>
      <c r="P32" s="81" t="e">
        <f t="shared" si="3"/>
        <v>#DIV/0!</v>
      </c>
      <c r="Q32" s="51">
        <f t="shared" si="4"/>
        <v>0</v>
      </c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52">
        <f t="shared" si="0"/>
        <v>0</v>
      </c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3">
        <f t="shared" si="5"/>
        <v>0</v>
      </c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5"/>
      <c r="BL32" s="55"/>
      <c r="BM32" s="55"/>
      <c r="BN32" s="55"/>
      <c r="BO32" s="55"/>
      <c r="BP32" s="55"/>
      <c r="BQ32" s="55"/>
      <c r="BR32" s="55"/>
      <c r="BS32" s="55"/>
      <c r="BT32" s="55"/>
    </row>
    <row r="36" spans="7:7" x14ac:dyDescent="0.3">
      <c r="G36" t="s">
        <v>11</v>
      </c>
    </row>
    <row r="37" spans="7:7" x14ac:dyDescent="0.3">
      <c r="G37" t="s">
        <v>84</v>
      </c>
    </row>
    <row r="38" spans="7:7" x14ac:dyDescent="0.3">
      <c r="G38" t="s">
        <v>85</v>
      </c>
    </row>
    <row r="39" spans="7:7" x14ac:dyDescent="0.3">
      <c r="G39" t="s">
        <v>14</v>
      </c>
    </row>
    <row r="40" spans="7:7" x14ac:dyDescent="0.3">
      <c r="G40" t="s">
        <v>10</v>
      </c>
    </row>
    <row r="41" spans="7:7" x14ac:dyDescent="0.3">
      <c r="G41" t="s">
        <v>86</v>
      </c>
    </row>
  </sheetData>
  <protectedRanges>
    <protectedRange sqref="BL2:BT32" name="YÜKLEME"/>
    <protectedRange sqref="AP2:AY32 BA2:BJ32" name="KALİTE"/>
    <protectedRange sqref="R2:AB32" name="KESİM"/>
    <protectedRange sqref="AD2:AN32" name="YIKAMA"/>
    <protectedRange sqref="L2:P32" name="DOKUMA"/>
  </protectedRanges>
  <mergeCells count="33">
    <mergeCell ref="J1:P1"/>
    <mergeCell ref="C13:F13"/>
    <mergeCell ref="C2:F2"/>
    <mergeCell ref="C8:F8"/>
    <mergeCell ref="C9:F9"/>
    <mergeCell ref="C10:F10"/>
    <mergeCell ref="C11:F11"/>
    <mergeCell ref="C12:F12"/>
    <mergeCell ref="C23:F23"/>
    <mergeCell ref="C24:F24"/>
    <mergeCell ref="C25:F25"/>
    <mergeCell ref="C14:F14"/>
    <mergeCell ref="C15:F15"/>
    <mergeCell ref="C16:F16"/>
    <mergeCell ref="C17:F17"/>
    <mergeCell ref="C18:F18"/>
    <mergeCell ref="C19:F19"/>
    <mergeCell ref="C32:F32"/>
    <mergeCell ref="B1:I1"/>
    <mergeCell ref="C7:F7"/>
    <mergeCell ref="C6:F6"/>
    <mergeCell ref="C5:F5"/>
    <mergeCell ref="C4:F4"/>
    <mergeCell ref="C3:F3"/>
    <mergeCell ref="C26:F26"/>
    <mergeCell ref="C27:F27"/>
    <mergeCell ref="C28:F28"/>
    <mergeCell ref="C29:F29"/>
    <mergeCell ref="C30:F30"/>
    <mergeCell ref="C31:F31"/>
    <mergeCell ref="C20:F20"/>
    <mergeCell ref="C21:F21"/>
    <mergeCell ref="C22:F22"/>
  </mergeCells>
  <conditionalFormatting sqref="P3:P32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{F1B0BF94-4EB3-43A2-AB70-0A7229EDB21D}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B0BF94-4EB3-43A2-AB70-0A7229EDB21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P3:P32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B1:BX44"/>
  <sheetViews>
    <sheetView showGridLines="0" zoomScale="90" zoomScaleNormal="90" workbookViewId="0">
      <selection activeCell="F34" sqref="F34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'Genel Durum'!B3</f>
        <v>1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FORMU'!C8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FORMU'!G8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FORMU'!H8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FORMU'!I8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2:C2"/>
    <mergeCell ref="D2:E2"/>
    <mergeCell ref="G2:BM2"/>
    <mergeCell ref="BW39:BX39"/>
    <mergeCell ref="B19:C20"/>
    <mergeCell ref="D19:E20"/>
    <mergeCell ref="BR39:BS39"/>
    <mergeCell ref="BR2:BX2"/>
    <mergeCell ref="BR3:BR4"/>
    <mergeCell ref="BS3:BS4"/>
    <mergeCell ref="BT3:BT4"/>
    <mergeCell ref="BU3:BU4"/>
    <mergeCell ref="BV3:BV4"/>
    <mergeCell ref="BW3:BW4"/>
    <mergeCell ref="BX3:BX4"/>
    <mergeCell ref="B16:C16"/>
    <mergeCell ref="B17:C17"/>
    <mergeCell ref="D15:E15"/>
    <mergeCell ref="D17:E17"/>
    <mergeCell ref="G3:J3"/>
    <mergeCell ref="L3:O3"/>
    <mergeCell ref="D4:E4"/>
    <mergeCell ref="D5:E5"/>
    <mergeCell ref="B7:C7"/>
    <mergeCell ref="D7:E7"/>
    <mergeCell ref="B8:C8"/>
    <mergeCell ref="D8:E8"/>
    <mergeCell ref="B9:C9"/>
    <mergeCell ref="D9:E9"/>
    <mergeCell ref="B6:C6"/>
    <mergeCell ref="D6:E6"/>
    <mergeCell ref="B10:C10"/>
    <mergeCell ref="B11:C11"/>
    <mergeCell ref="D11:E11"/>
    <mergeCell ref="B3:C3"/>
    <mergeCell ref="B4:C4"/>
    <mergeCell ref="B5:C5"/>
    <mergeCell ref="D3:E3"/>
    <mergeCell ref="D16:E16"/>
    <mergeCell ref="B15:C15"/>
    <mergeCell ref="B12:C12"/>
    <mergeCell ref="B13:C13"/>
    <mergeCell ref="B14:C14"/>
    <mergeCell ref="D12:E12"/>
    <mergeCell ref="D13:E13"/>
    <mergeCell ref="D14:E14"/>
    <mergeCell ref="AU3:AX3"/>
    <mergeCell ref="AZ3:BC3"/>
    <mergeCell ref="BE3:BH3"/>
    <mergeCell ref="BJ3:BM3"/>
    <mergeCell ref="D10:E10"/>
    <mergeCell ref="AA3:AD3"/>
    <mergeCell ref="AF3:AI3"/>
    <mergeCell ref="AK3:AN3"/>
    <mergeCell ref="AP3:AS3"/>
    <mergeCell ref="V3:Y3"/>
    <mergeCell ref="Q3:T3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{0443A5BC-225D-4EEB-B196-5F377F1F6EE8}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3A5BC-225D-4EEB-B196-5F377F1F6EE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FORMU'!B9</f>
        <v>2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FORMU'!C9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FORMU'!G9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FORMU'!H9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FORMU'!I9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{1F453EDE-136B-44F2-9B56-F51FEB074EC2}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453EDE-136B-44F2-9B56-F51FEB074EC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FORMU'!B10</f>
        <v>3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FORMU'!C10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FORMU'!G10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FORMU'!H10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FORMU'!I10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{9D69239B-B42D-4B0C-AB91-2217625B4257}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69239B-B42D-4B0C-AB91-2217625B425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FORMU'!B11</f>
        <v>4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FORMU'!C11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FORMU'!G11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FORMU'!H11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FORMU'!I11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{C4548368-2EC9-4A45-B4FE-28FCD20CBE38}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548368-2EC9-4A45-B4FE-28FCD20CBE3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FORMU'!B12</f>
        <v>5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FORMU'!C12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FORMU'!G12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FORMU'!H12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FORMU'!I12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{0791E6C7-5BBC-46CB-8625-2FBC149B083A}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91E6C7-5BBC-46CB-8625-2FBC149B083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FORMU'!B13</f>
        <v>6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FORMU'!C13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FORMU'!G13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FORMU'!H13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FORMU'!I13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{283E528A-A168-4DFF-B79F-3C442A1764F4}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3E528A-A168-4DFF-B79F-3C442A1764F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FORMU'!B14</f>
        <v>7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FORMU'!C14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FORMU'!G14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FORMU'!H14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FORMU'!I14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{49EF39B2-7ACB-447F-8494-1E85A32BA314}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EF39B2-7ACB-447F-8494-1E85A32BA31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FORMU'!B15</f>
        <v>8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FORMU'!C15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FORMU'!G15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FORMU'!H15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FORMU'!I15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{E4FAE77C-EAE6-46C5-9E50-2F0CC3F48B87}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FAE77C-EAE6-46C5-9E50-2F0CC3F48B8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FORMU'!B16</f>
        <v>9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FORMU'!C16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FORMU'!G16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FORMU'!H16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FORMU'!I16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{003399D0-C591-45F4-9FFA-01E7C3A62BEF}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3399D0-C591-45F4-9FFA-01E7C3A62BE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79998168889431442"/>
  </sheetPr>
  <dimension ref="B1:BX44"/>
  <sheetViews>
    <sheetView showGridLines="0" zoomScale="90" zoomScaleNormal="90" workbookViewId="0">
      <selection activeCell="J39" sqref="J39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hidden="1" customWidth="1" outlineLevel="1"/>
    <col min="66" max="66" width="6.6640625" customWidth="1" collapsed="1"/>
    <col min="67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>
        <f>'SİPARİŞ FORMU'!B17</f>
        <v>10</v>
      </c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>
        <f>'SİPARİŞ FORMU'!C17</f>
        <v>0</v>
      </c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>
        <f>'SİPARİŞ FORMU'!G17</f>
        <v>0</v>
      </c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>
        <f>'SİPARİŞ FORMU'!H17</f>
        <v>0</v>
      </c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>
        <f>'SİPARİŞ FORMU'!I17</f>
        <v>0</v>
      </c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{6BC99080-6E3D-447C-B3F2-8C8B9FC9DE52}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C99080-6E3D-447C-B3F2-8C8B9FC9DE5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{2FE298B6-B869-486A-A164-B0891FCC3983}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E298B6-B869-486A-A164-B0891FCC398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{08AEF27A-F05C-4F48-984B-9DF81D7D265E}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AEF27A-F05C-4F48-984B-9DF81D7D26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{5BA92485-713F-4AC3-83D4-B1BE3255637E}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A92485-713F-4AC3-83D4-B1BE3255637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{5C0217A1-46B6-4A54-88D2-290143034626}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0217A1-46B6-4A54-88D2-29014303462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{99089EC2-98B7-48C6-ABF6-3759DB11F1BF}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089EC2-98B7-48C6-ABF6-3759DB11F1B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{5CA29699-15F1-4D97-BCC7-7FED0B060271}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A29699-15F1-4D97-BCC7-7FED0B060271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{AFF3989A-FF23-483C-A273-9A5095282E74}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F3989A-FF23-483C-A273-9A5095282E74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{580943DD-C0B9-415E-8BAF-152B7EE99B20}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0943DD-C0B9-415E-8BAF-152B7EE99B2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{1783825A-615F-4185-AB7C-1E27EC529A7F}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3825A-615F-4185-AB7C-1E27EC529A7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{89CBB659-0E19-4BE4-ADC9-4F4F4D930C59}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CBB659-0E19-4BE4-ADC9-4F4F4D930C5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{1E4651EF-0909-4018-A02C-F15F5F7C5976}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4651EF-0909-4018-A02C-F15F5F7C597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{317C8449-2A1B-4AAB-A4CB-AB2478D08CBD}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7C8449-2A1B-4AAB-A4CB-AB2478D08CB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{5D71B844-7488-46B8-9FCC-85016FB6F52C}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71B844-7488-46B8-9FCC-85016FB6F52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{CA70E4CF-CAA0-4683-93B4-82443EDA04D2}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70E4CF-CAA0-4683-93B4-82443EDA04D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{F7425130-D6DC-42FF-90F1-9B2A586D3468}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425130-D6DC-42FF-90F1-9B2A586D346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{B9C980AE-9257-4F92-90C5-97FA546FF86C}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C980AE-9257-4F92-90C5-97FA546FF86C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{DD6C985B-FBA4-4829-B61F-52B6E81A488A}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6C985B-FBA4-4829-B61F-52B6E81A488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{B578330F-A9ED-454B-9A10-51CC99C26F23}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78330F-A9ED-454B-9A10-51CC99C26F2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{519AD054-E333-47A4-964D-3647BCAB9928}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9AD054-E333-47A4-964D-3647BCAB992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5" tint="0.79998168889431442"/>
  </sheetPr>
  <dimension ref="B1:BX44"/>
  <sheetViews>
    <sheetView showGridLines="0" zoomScale="90" zoomScaleNormal="90" workbookViewId="0">
      <selection activeCell="E27" sqref="E27"/>
    </sheetView>
  </sheetViews>
  <sheetFormatPr defaultRowHeight="14.4" outlineLevelCol="1" x14ac:dyDescent="0.3"/>
  <cols>
    <col min="1" max="1" width="1.44140625" customWidth="1"/>
    <col min="2" max="2" width="10.44140625" bestFit="1" customWidth="1"/>
    <col min="3" max="4" width="8.88671875" customWidth="1"/>
    <col min="5" max="5" width="18.44140625" customWidth="1"/>
    <col min="6" max="6" width="8.88671875" customWidth="1"/>
    <col min="7" max="10" width="11.44140625" customWidth="1"/>
    <col min="11" max="65" width="11.44140625" customWidth="1" outlineLevel="1"/>
    <col min="66" max="67" width="6.6640625" customWidth="1"/>
    <col min="68" max="68" width="6.6640625" style="86" customWidth="1"/>
    <col min="69" max="69" width="6.6640625" customWidth="1"/>
    <col min="70" max="70" width="11.109375" customWidth="1"/>
    <col min="71" max="71" width="17.109375" customWidth="1"/>
    <col min="72" max="72" width="11.109375" bestFit="1" customWidth="1"/>
    <col min="73" max="73" width="11" bestFit="1" customWidth="1"/>
    <col min="74" max="74" width="16.5546875" bestFit="1" customWidth="1"/>
    <col min="75" max="75" width="10.88671875" bestFit="1" customWidth="1"/>
    <col min="76" max="76" width="29.109375" customWidth="1"/>
  </cols>
  <sheetData>
    <row r="1" spans="2:76" ht="11.25" customHeight="1" thickBot="1" x14ac:dyDescent="0.35"/>
    <row r="2" spans="2:76" ht="20.25" customHeight="1" thickBot="1" x14ac:dyDescent="0.35">
      <c r="B2" s="212" t="s">
        <v>139</v>
      </c>
      <c r="C2" s="213"/>
      <c r="D2" s="214"/>
      <c r="E2" s="215"/>
      <c r="G2" s="216" t="s">
        <v>122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R2" s="216" t="s">
        <v>126</v>
      </c>
      <c r="BS2" s="216"/>
      <c r="BT2" s="216"/>
      <c r="BU2" s="216"/>
      <c r="BV2" s="216"/>
      <c r="BW2" s="216"/>
      <c r="BX2" s="216"/>
    </row>
    <row r="3" spans="2:76" ht="15" customHeight="1" x14ac:dyDescent="0.3">
      <c r="B3" s="185" t="s">
        <v>106</v>
      </c>
      <c r="C3" s="186"/>
      <c r="D3" s="195">
        <f>'SİPARİŞ FORMU'!C4</f>
        <v>0</v>
      </c>
      <c r="E3" s="196"/>
      <c r="G3" s="203"/>
      <c r="H3" s="204"/>
      <c r="I3" s="204"/>
      <c r="J3" s="205"/>
      <c r="L3" s="178"/>
      <c r="M3" s="178"/>
      <c r="N3" s="178"/>
      <c r="O3" s="178"/>
      <c r="Q3" s="178"/>
      <c r="R3" s="178"/>
      <c r="S3" s="178"/>
      <c r="T3" s="178"/>
      <c r="V3" s="178"/>
      <c r="W3" s="178"/>
      <c r="X3" s="178"/>
      <c r="Y3" s="178"/>
      <c r="Z3" s="85"/>
      <c r="AA3" s="178"/>
      <c r="AB3" s="178"/>
      <c r="AC3" s="178"/>
      <c r="AD3" s="178"/>
      <c r="AE3" s="85"/>
      <c r="AF3" s="178"/>
      <c r="AG3" s="178"/>
      <c r="AH3" s="178"/>
      <c r="AI3" s="178"/>
      <c r="AJ3" s="85"/>
      <c r="AK3" s="178"/>
      <c r="AL3" s="178"/>
      <c r="AM3" s="178"/>
      <c r="AN3" s="178"/>
      <c r="AO3" s="85"/>
      <c r="AP3" s="178"/>
      <c r="AQ3" s="178"/>
      <c r="AR3" s="178"/>
      <c r="AS3" s="178"/>
      <c r="AT3" s="85"/>
      <c r="AU3" s="178"/>
      <c r="AV3" s="178"/>
      <c r="AW3" s="178"/>
      <c r="AX3" s="178"/>
      <c r="AY3" s="85"/>
      <c r="AZ3" s="178"/>
      <c r="BA3" s="178"/>
      <c r="BB3" s="178"/>
      <c r="BC3" s="178"/>
      <c r="BD3" s="85"/>
      <c r="BE3" s="178"/>
      <c r="BF3" s="178"/>
      <c r="BG3" s="178"/>
      <c r="BH3" s="178"/>
      <c r="BI3" s="85"/>
      <c r="BJ3" s="178"/>
      <c r="BK3" s="178"/>
      <c r="BL3" s="178"/>
      <c r="BM3" s="178"/>
      <c r="BN3" s="85"/>
      <c r="BO3" s="85"/>
      <c r="BP3" s="87"/>
      <c r="BR3" s="227" t="s">
        <v>111</v>
      </c>
      <c r="BS3" s="227" t="s">
        <v>128</v>
      </c>
      <c r="BT3" s="227" t="s">
        <v>119</v>
      </c>
      <c r="BU3" s="227" t="s">
        <v>129</v>
      </c>
      <c r="BV3" s="227" t="s">
        <v>121</v>
      </c>
      <c r="BW3" s="227" t="s">
        <v>130</v>
      </c>
      <c r="BX3" s="227" t="s">
        <v>127</v>
      </c>
    </row>
    <row r="4" spans="2:76" ht="15" customHeight="1" x14ac:dyDescent="0.3">
      <c r="B4" s="187" t="s">
        <v>107</v>
      </c>
      <c r="C4" s="188"/>
      <c r="D4" s="206">
        <f>'SİPARİŞ FORMU'!C5</f>
        <v>0</v>
      </c>
      <c r="E4" s="207"/>
      <c r="G4" s="93" t="s">
        <v>111</v>
      </c>
      <c r="H4" s="93" t="s">
        <v>112</v>
      </c>
      <c r="I4" s="93" t="s">
        <v>113</v>
      </c>
      <c r="J4" s="93" t="s">
        <v>114</v>
      </c>
      <c r="L4" s="89" t="s">
        <v>111</v>
      </c>
      <c r="M4" s="89" t="s">
        <v>112</v>
      </c>
      <c r="N4" s="89" t="s">
        <v>113</v>
      </c>
      <c r="O4" s="89" t="s">
        <v>114</v>
      </c>
      <c r="Q4" s="89" t="s">
        <v>111</v>
      </c>
      <c r="R4" s="89" t="s">
        <v>112</v>
      </c>
      <c r="S4" s="89" t="s">
        <v>113</v>
      </c>
      <c r="T4" s="89" t="s">
        <v>114</v>
      </c>
      <c r="V4" s="89" t="s">
        <v>111</v>
      </c>
      <c r="W4" s="89" t="s">
        <v>112</v>
      </c>
      <c r="X4" s="89" t="s">
        <v>113</v>
      </c>
      <c r="Y4" s="89" t="s">
        <v>114</v>
      </c>
      <c r="Z4" s="85"/>
      <c r="AA4" s="89" t="s">
        <v>111</v>
      </c>
      <c r="AB4" s="89" t="s">
        <v>112</v>
      </c>
      <c r="AC4" s="89" t="s">
        <v>113</v>
      </c>
      <c r="AD4" s="89" t="s">
        <v>114</v>
      </c>
      <c r="AE4" s="85"/>
      <c r="AF4" s="89" t="s">
        <v>111</v>
      </c>
      <c r="AG4" s="89" t="s">
        <v>112</v>
      </c>
      <c r="AH4" s="89" t="s">
        <v>113</v>
      </c>
      <c r="AI4" s="89" t="s">
        <v>114</v>
      </c>
      <c r="AJ4" s="85"/>
      <c r="AK4" s="89" t="s">
        <v>111</v>
      </c>
      <c r="AL4" s="89" t="s">
        <v>112</v>
      </c>
      <c r="AM4" s="89" t="s">
        <v>113</v>
      </c>
      <c r="AN4" s="89" t="s">
        <v>114</v>
      </c>
      <c r="AO4" s="85"/>
      <c r="AP4" s="89" t="s">
        <v>111</v>
      </c>
      <c r="AQ4" s="89" t="s">
        <v>112</v>
      </c>
      <c r="AR4" s="89" t="s">
        <v>113</v>
      </c>
      <c r="AS4" s="89" t="s">
        <v>114</v>
      </c>
      <c r="AT4" s="85"/>
      <c r="AU4" s="89" t="s">
        <v>111</v>
      </c>
      <c r="AV4" s="89" t="s">
        <v>112</v>
      </c>
      <c r="AW4" s="89" t="s">
        <v>113</v>
      </c>
      <c r="AX4" s="89" t="s">
        <v>114</v>
      </c>
      <c r="AY4" s="85"/>
      <c r="AZ4" s="89" t="s">
        <v>111</v>
      </c>
      <c r="BA4" s="89" t="s">
        <v>112</v>
      </c>
      <c r="BB4" s="89" t="s">
        <v>113</v>
      </c>
      <c r="BC4" s="89" t="s">
        <v>114</v>
      </c>
      <c r="BD4" s="85"/>
      <c r="BE4" s="89" t="s">
        <v>111</v>
      </c>
      <c r="BF4" s="89" t="s">
        <v>112</v>
      </c>
      <c r="BG4" s="89" t="s">
        <v>113</v>
      </c>
      <c r="BH4" s="89" t="s">
        <v>114</v>
      </c>
      <c r="BI4" s="85"/>
      <c r="BJ4" s="89" t="s">
        <v>111</v>
      </c>
      <c r="BK4" s="89" t="s">
        <v>112</v>
      </c>
      <c r="BL4" s="89" t="s">
        <v>113</v>
      </c>
      <c r="BM4" s="89" t="s">
        <v>114</v>
      </c>
      <c r="BN4" s="85"/>
      <c r="BO4" s="85"/>
      <c r="BP4" s="87"/>
      <c r="BR4" s="227"/>
      <c r="BS4" s="227"/>
      <c r="BT4" s="227"/>
      <c r="BU4" s="227"/>
      <c r="BV4" s="227"/>
      <c r="BW4" s="227"/>
      <c r="BX4" s="227"/>
    </row>
    <row r="5" spans="2:76" ht="15" customHeight="1" x14ac:dyDescent="0.3">
      <c r="B5" s="187" t="s">
        <v>105</v>
      </c>
      <c r="C5" s="188"/>
      <c r="D5" s="206"/>
      <c r="E5" s="207"/>
      <c r="G5" s="90"/>
      <c r="H5" s="88"/>
      <c r="I5" s="88"/>
      <c r="J5" s="88"/>
      <c r="L5" s="90"/>
      <c r="M5" s="88"/>
      <c r="N5" s="88"/>
      <c r="O5" s="88"/>
      <c r="Q5" s="90"/>
      <c r="R5" s="88"/>
      <c r="S5" s="88"/>
      <c r="T5" s="88"/>
      <c r="V5" s="90"/>
      <c r="W5" s="88"/>
      <c r="X5" s="88"/>
      <c r="Y5" s="88"/>
      <c r="AA5" s="90"/>
      <c r="AB5" s="88"/>
      <c r="AC5" s="88"/>
      <c r="AD5" s="88"/>
      <c r="AF5" s="90"/>
      <c r="AG5" s="88"/>
      <c r="AH5" s="88"/>
      <c r="AI5" s="88"/>
      <c r="AK5" s="90"/>
      <c r="AL5" s="88"/>
      <c r="AM5" s="88"/>
      <c r="AN5" s="88"/>
      <c r="AP5" s="90"/>
      <c r="AQ5" s="88"/>
      <c r="AR5" s="88"/>
      <c r="AS5" s="88"/>
      <c r="AU5" s="90"/>
      <c r="AV5" s="88"/>
      <c r="AW5" s="88"/>
      <c r="AX5" s="88"/>
      <c r="AZ5" s="90"/>
      <c r="BA5" s="88"/>
      <c r="BB5" s="88"/>
      <c r="BC5" s="88"/>
      <c r="BE5" s="90"/>
      <c r="BF5" s="88"/>
      <c r="BG5" s="88"/>
      <c r="BH5" s="88"/>
      <c r="BJ5" s="90"/>
      <c r="BK5" s="88"/>
      <c r="BL5" s="88"/>
      <c r="BM5" s="88"/>
      <c r="BR5" s="90"/>
      <c r="BS5" s="88"/>
      <c r="BT5" s="88"/>
      <c r="BU5" s="88"/>
      <c r="BV5" s="88"/>
      <c r="BW5" s="88"/>
      <c r="BX5" s="88"/>
    </row>
    <row r="6" spans="2:76" ht="15" customHeight="1" x14ac:dyDescent="0.3">
      <c r="B6" s="187" t="s">
        <v>108</v>
      </c>
      <c r="C6" s="188"/>
      <c r="D6" s="206"/>
      <c r="E6" s="207"/>
      <c r="G6" s="88"/>
      <c r="H6" s="88"/>
      <c r="I6" s="88"/>
      <c r="J6" s="88"/>
      <c r="L6" s="88"/>
      <c r="M6" s="88"/>
      <c r="N6" s="88"/>
      <c r="O6" s="88"/>
      <c r="Q6" s="88"/>
      <c r="R6" s="88"/>
      <c r="S6" s="88"/>
      <c r="T6" s="88"/>
      <c r="V6" s="88"/>
      <c r="W6" s="88"/>
      <c r="X6" s="88"/>
      <c r="Y6" s="88"/>
      <c r="AA6" s="88"/>
      <c r="AB6" s="88"/>
      <c r="AC6" s="88"/>
      <c r="AD6" s="88"/>
      <c r="AF6" s="88"/>
      <c r="AG6" s="88"/>
      <c r="AH6" s="88"/>
      <c r="AI6" s="88"/>
      <c r="AK6" s="88"/>
      <c r="AL6" s="88"/>
      <c r="AM6" s="88"/>
      <c r="AN6" s="88"/>
      <c r="AP6" s="88"/>
      <c r="AQ6" s="88"/>
      <c r="AR6" s="88"/>
      <c r="AS6" s="88"/>
      <c r="AU6" s="88"/>
      <c r="AV6" s="88"/>
      <c r="AW6" s="88"/>
      <c r="AX6" s="88"/>
      <c r="AZ6" s="88"/>
      <c r="BA6" s="88"/>
      <c r="BB6" s="88"/>
      <c r="BC6" s="88"/>
      <c r="BE6" s="88"/>
      <c r="BF6" s="88"/>
      <c r="BG6" s="88"/>
      <c r="BH6" s="88"/>
      <c r="BJ6" s="88"/>
      <c r="BK6" s="88"/>
      <c r="BL6" s="88"/>
      <c r="BM6" s="88"/>
      <c r="BR6" s="88"/>
      <c r="BS6" s="88"/>
      <c r="BT6" s="88"/>
      <c r="BU6" s="88"/>
      <c r="BV6" s="88"/>
      <c r="BW6" s="88"/>
      <c r="BX6" s="88"/>
    </row>
    <row r="7" spans="2:76" ht="15" customHeight="1" thickBot="1" x14ac:dyDescent="0.35">
      <c r="B7" s="208" t="s">
        <v>109</v>
      </c>
      <c r="C7" s="209"/>
      <c r="D7" s="210"/>
      <c r="E7" s="211"/>
      <c r="G7" s="88"/>
      <c r="H7" s="88"/>
      <c r="I7" s="88"/>
      <c r="J7" s="88"/>
      <c r="L7" s="88"/>
      <c r="M7" s="88"/>
      <c r="N7" s="88"/>
      <c r="O7" s="88"/>
      <c r="Q7" s="88"/>
      <c r="R7" s="88"/>
      <c r="S7" s="88"/>
      <c r="T7" s="88"/>
      <c r="V7" s="88"/>
      <c r="W7" s="88"/>
      <c r="X7" s="88"/>
      <c r="Y7" s="88"/>
      <c r="AA7" s="88"/>
      <c r="AB7" s="88"/>
      <c r="AC7" s="88"/>
      <c r="AD7" s="88"/>
      <c r="AF7" s="88"/>
      <c r="AG7" s="88"/>
      <c r="AH7" s="88"/>
      <c r="AI7" s="88"/>
      <c r="AK7" s="88"/>
      <c r="AL7" s="88"/>
      <c r="AM7" s="88"/>
      <c r="AN7" s="88"/>
      <c r="AP7" s="88"/>
      <c r="AQ7" s="88"/>
      <c r="AR7" s="88"/>
      <c r="AS7" s="88"/>
      <c r="AU7" s="88"/>
      <c r="AV7" s="88"/>
      <c r="AW7" s="88"/>
      <c r="AX7" s="88"/>
      <c r="AZ7" s="88"/>
      <c r="BA7" s="88"/>
      <c r="BB7" s="88"/>
      <c r="BC7" s="88"/>
      <c r="BE7" s="88"/>
      <c r="BF7" s="88"/>
      <c r="BG7" s="88"/>
      <c r="BH7" s="88"/>
      <c r="BJ7" s="88"/>
      <c r="BK7" s="88"/>
      <c r="BL7" s="88"/>
      <c r="BM7" s="88"/>
      <c r="BR7" s="88"/>
      <c r="BS7" s="88"/>
      <c r="BT7" s="88"/>
      <c r="BU7" s="88"/>
      <c r="BV7" s="88"/>
      <c r="BW7" s="88"/>
      <c r="BX7" s="88"/>
    </row>
    <row r="8" spans="2:76" ht="15" customHeight="1" thickBot="1" x14ac:dyDescent="0.35">
      <c r="B8" s="212" t="s">
        <v>110</v>
      </c>
      <c r="C8" s="213"/>
      <c r="D8" s="214"/>
      <c r="E8" s="215"/>
      <c r="G8" s="88"/>
      <c r="H8" s="88"/>
      <c r="I8" s="88"/>
      <c r="J8" s="88"/>
      <c r="L8" s="88"/>
      <c r="M8" s="88"/>
      <c r="N8" s="88"/>
      <c r="O8" s="88"/>
      <c r="Q8" s="88"/>
      <c r="R8" s="88"/>
      <c r="S8" s="88"/>
      <c r="T8" s="88"/>
      <c r="V8" s="88"/>
      <c r="W8" s="88"/>
      <c r="X8" s="88"/>
      <c r="Y8" s="88"/>
      <c r="AA8" s="88"/>
      <c r="AB8" s="88"/>
      <c r="AC8" s="88"/>
      <c r="AD8" s="88"/>
      <c r="AF8" s="88"/>
      <c r="AG8" s="88"/>
      <c r="AH8" s="88"/>
      <c r="AI8" s="88"/>
      <c r="AK8" s="88"/>
      <c r="AL8" s="88"/>
      <c r="AM8" s="88"/>
      <c r="AN8" s="88"/>
      <c r="AP8" s="88"/>
      <c r="AQ8" s="88"/>
      <c r="AR8" s="88"/>
      <c r="AS8" s="88"/>
      <c r="AU8" s="88"/>
      <c r="AV8" s="88"/>
      <c r="AW8" s="88"/>
      <c r="AX8" s="88"/>
      <c r="AZ8" s="88"/>
      <c r="BA8" s="88"/>
      <c r="BB8" s="88"/>
      <c r="BC8" s="88"/>
      <c r="BE8" s="88"/>
      <c r="BF8" s="88"/>
      <c r="BG8" s="88"/>
      <c r="BH8" s="88"/>
      <c r="BJ8" s="88"/>
      <c r="BK8" s="88"/>
      <c r="BL8" s="88"/>
      <c r="BM8" s="88"/>
      <c r="BR8" s="88"/>
      <c r="BS8" s="88"/>
      <c r="BT8" s="88"/>
      <c r="BU8" s="88"/>
      <c r="BV8" s="88"/>
      <c r="BW8" s="88"/>
      <c r="BX8" s="88"/>
    </row>
    <row r="9" spans="2:76" ht="15" customHeight="1" x14ac:dyDescent="0.3">
      <c r="B9" s="185" t="s">
        <v>115</v>
      </c>
      <c r="C9" s="186"/>
      <c r="D9" s="191">
        <f>+H36+M36+R36+W36+AB36+AG36+AL36+AQ36+AV36+BA36+BF36+BK36</f>
        <v>0</v>
      </c>
      <c r="E9" s="192"/>
      <c r="G9" s="88"/>
      <c r="H9" s="88"/>
      <c r="I9" s="88"/>
      <c r="J9" s="88"/>
      <c r="L9" s="88"/>
      <c r="M9" s="88"/>
      <c r="N9" s="88"/>
      <c r="O9" s="88"/>
      <c r="Q9" s="88"/>
      <c r="R9" s="88"/>
      <c r="S9" s="88"/>
      <c r="T9" s="88"/>
      <c r="V9" s="88"/>
      <c r="W9" s="88"/>
      <c r="X9" s="88"/>
      <c r="Y9" s="88"/>
      <c r="AA9" s="88"/>
      <c r="AB9" s="88"/>
      <c r="AC9" s="88"/>
      <c r="AD9" s="88"/>
      <c r="AF9" s="88"/>
      <c r="AG9" s="88"/>
      <c r="AH9" s="88"/>
      <c r="AI9" s="88"/>
      <c r="AK9" s="88"/>
      <c r="AL9" s="88"/>
      <c r="AM9" s="88"/>
      <c r="AN9" s="88"/>
      <c r="AP9" s="88"/>
      <c r="AQ9" s="88"/>
      <c r="AR9" s="88"/>
      <c r="AS9" s="88"/>
      <c r="AU9" s="88"/>
      <c r="AV9" s="88"/>
      <c r="AW9" s="88"/>
      <c r="AX9" s="88"/>
      <c r="AZ9" s="88"/>
      <c r="BA9" s="88"/>
      <c r="BB9" s="88"/>
      <c r="BC9" s="88"/>
      <c r="BE9" s="88"/>
      <c r="BF9" s="88"/>
      <c r="BG9" s="88"/>
      <c r="BH9" s="88"/>
      <c r="BJ9" s="88"/>
      <c r="BK9" s="88"/>
      <c r="BL9" s="88"/>
      <c r="BM9" s="88"/>
      <c r="BR9" s="88"/>
      <c r="BS9" s="88"/>
      <c r="BT9" s="88"/>
      <c r="BU9" s="88"/>
      <c r="BV9" s="88"/>
      <c r="BW9" s="88"/>
      <c r="BX9" s="88"/>
    </row>
    <row r="10" spans="2:76" ht="15" customHeight="1" x14ac:dyDescent="0.3">
      <c r="B10" s="187" t="s">
        <v>116</v>
      </c>
      <c r="C10" s="188"/>
      <c r="D10" s="179">
        <f>+I36+N36+S36+X36+AC36+AH36+AM36+AR36+AW36+BB36+BG36+BL36</f>
        <v>0</v>
      </c>
      <c r="E10" s="180"/>
      <c r="G10" s="88"/>
      <c r="H10" s="88"/>
      <c r="I10" s="88"/>
      <c r="J10" s="88"/>
      <c r="L10" s="88"/>
      <c r="M10" s="88"/>
      <c r="N10" s="88"/>
      <c r="O10" s="88"/>
      <c r="Q10" s="88"/>
      <c r="R10" s="88"/>
      <c r="S10" s="88"/>
      <c r="T10" s="88"/>
      <c r="V10" s="88"/>
      <c r="W10" s="88"/>
      <c r="X10" s="88"/>
      <c r="Y10" s="88"/>
      <c r="AA10" s="88"/>
      <c r="AB10" s="88"/>
      <c r="AC10" s="88"/>
      <c r="AD10" s="88"/>
      <c r="AF10" s="88"/>
      <c r="AG10" s="88"/>
      <c r="AH10" s="88"/>
      <c r="AI10" s="88"/>
      <c r="AK10" s="88"/>
      <c r="AL10" s="88"/>
      <c r="AM10" s="88"/>
      <c r="AN10" s="88"/>
      <c r="AP10" s="88"/>
      <c r="AQ10" s="88"/>
      <c r="AR10" s="88"/>
      <c r="AS10" s="88"/>
      <c r="AU10" s="88"/>
      <c r="AV10" s="88"/>
      <c r="AW10" s="88"/>
      <c r="AX10" s="88"/>
      <c r="AZ10" s="88"/>
      <c r="BA10" s="88"/>
      <c r="BB10" s="88"/>
      <c r="BC10" s="88"/>
      <c r="BE10" s="88"/>
      <c r="BF10" s="88"/>
      <c r="BG10" s="88"/>
      <c r="BH10" s="88"/>
      <c r="BJ10" s="88"/>
      <c r="BK10" s="88"/>
      <c r="BL10" s="88"/>
      <c r="BM10" s="88"/>
      <c r="BR10" s="88"/>
      <c r="BS10" s="88"/>
      <c r="BT10" s="88"/>
      <c r="BU10" s="88"/>
      <c r="BV10" s="88"/>
      <c r="BW10" s="88"/>
      <c r="BX10" s="88"/>
    </row>
    <row r="11" spans="2:76" ht="15" customHeight="1" thickBot="1" x14ac:dyDescent="0.35">
      <c r="B11" s="189" t="s">
        <v>117</v>
      </c>
      <c r="C11" s="190"/>
      <c r="D11" s="193">
        <f>+J36+O36+T36+Y36+AD36+AI36+AN36+AS36+AX36+BC36+BH36+BM36</f>
        <v>0</v>
      </c>
      <c r="E11" s="194"/>
      <c r="G11" s="88"/>
      <c r="H11" s="88"/>
      <c r="I11" s="88"/>
      <c r="J11" s="88"/>
      <c r="L11" s="88"/>
      <c r="M11" s="88"/>
      <c r="N11" s="88"/>
      <c r="O11" s="88"/>
      <c r="Q11" s="88"/>
      <c r="R11" s="88"/>
      <c r="S11" s="88"/>
      <c r="T11" s="88"/>
      <c r="V11" s="88"/>
      <c r="W11" s="88"/>
      <c r="X11" s="88"/>
      <c r="Y11" s="88"/>
      <c r="AA11" s="88"/>
      <c r="AB11" s="88"/>
      <c r="AC11" s="88"/>
      <c r="AD11" s="88"/>
      <c r="AF11" s="88"/>
      <c r="AG11" s="88"/>
      <c r="AH11" s="88"/>
      <c r="AI11" s="88"/>
      <c r="AK11" s="88"/>
      <c r="AL11" s="88"/>
      <c r="AM11" s="88"/>
      <c r="AN11" s="88"/>
      <c r="AP11" s="88"/>
      <c r="AQ11" s="88"/>
      <c r="AR11" s="88"/>
      <c r="AS11" s="88"/>
      <c r="AU11" s="88"/>
      <c r="AV11" s="88"/>
      <c r="AW11" s="88"/>
      <c r="AX11" s="88"/>
      <c r="AZ11" s="88"/>
      <c r="BA11" s="88"/>
      <c r="BB11" s="88"/>
      <c r="BC11" s="88"/>
      <c r="BE11" s="88"/>
      <c r="BF11" s="88"/>
      <c r="BG11" s="88"/>
      <c r="BH11" s="88"/>
      <c r="BJ11" s="88"/>
      <c r="BK11" s="88"/>
      <c r="BL11" s="88"/>
      <c r="BM11" s="88"/>
      <c r="BR11" s="88"/>
      <c r="BS11" s="88"/>
      <c r="BT11" s="88"/>
      <c r="BU11" s="88"/>
      <c r="BV11" s="88"/>
      <c r="BW11" s="88"/>
      <c r="BX11" s="88"/>
    </row>
    <row r="12" spans="2:76" ht="15" customHeight="1" x14ac:dyDescent="0.3">
      <c r="B12" s="185" t="s">
        <v>119</v>
      </c>
      <c r="C12" s="186"/>
      <c r="D12" s="191">
        <f>BT39</f>
        <v>0</v>
      </c>
      <c r="E12" s="192"/>
      <c r="G12" s="88"/>
      <c r="H12" s="88"/>
      <c r="I12" s="88"/>
      <c r="J12" s="88"/>
      <c r="L12" s="88"/>
      <c r="M12" s="88"/>
      <c r="N12" s="88"/>
      <c r="O12" s="88"/>
      <c r="Q12" s="88"/>
      <c r="R12" s="88"/>
      <c r="S12" s="88"/>
      <c r="T12" s="88"/>
      <c r="V12" s="88"/>
      <c r="W12" s="88"/>
      <c r="X12" s="88"/>
      <c r="Y12" s="88"/>
      <c r="AA12" s="88"/>
      <c r="AB12" s="88"/>
      <c r="AC12" s="88"/>
      <c r="AD12" s="88"/>
      <c r="AF12" s="88"/>
      <c r="AG12" s="88"/>
      <c r="AH12" s="88"/>
      <c r="AI12" s="88"/>
      <c r="AK12" s="88"/>
      <c r="AL12" s="88"/>
      <c r="AM12" s="88"/>
      <c r="AN12" s="88"/>
      <c r="AP12" s="88"/>
      <c r="AQ12" s="88"/>
      <c r="AR12" s="88"/>
      <c r="AS12" s="88"/>
      <c r="AU12" s="88"/>
      <c r="AV12" s="88"/>
      <c r="AW12" s="88"/>
      <c r="AX12" s="88"/>
      <c r="AZ12" s="88"/>
      <c r="BA12" s="88"/>
      <c r="BB12" s="88"/>
      <c r="BC12" s="88"/>
      <c r="BE12" s="88"/>
      <c r="BF12" s="88"/>
      <c r="BG12" s="88"/>
      <c r="BH12" s="88"/>
      <c r="BJ12" s="88"/>
      <c r="BK12" s="88"/>
      <c r="BL12" s="88"/>
      <c r="BM12" s="88"/>
      <c r="BR12" s="88"/>
      <c r="BS12" s="88"/>
      <c r="BT12" s="88"/>
      <c r="BU12" s="88"/>
      <c r="BV12" s="88"/>
      <c r="BW12" s="88"/>
      <c r="BX12" s="88"/>
    </row>
    <row r="13" spans="2:76" ht="15" customHeight="1" x14ac:dyDescent="0.3">
      <c r="B13" s="187" t="s">
        <v>120</v>
      </c>
      <c r="C13" s="188"/>
      <c r="D13" s="179">
        <f>BU39</f>
        <v>0</v>
      </c>
      <c r="E13" s="180"/>
      <c r="G13" s="88"/>
      <c r="H13" s="88"/>
      <c r="I13" s="88"/>
      <c r="J13" s="88"/>
      <c r="L13" s="88"/>
      <c r="M13" s="88"/>
      <c r="N13" s="88"/>
      <c r="O13" s="88"/>
      <c r="Q13" s="88"/>
      <c r="R13" s="88"/>
      <c r="S13" s="88"/>
      <c r="T13" s="88"/>
      <c r="V13" s="88"/>
      <c r="W13" s="88"/>
      <c r="X13" s="88"/>
      <c r="Y13" s="88"/>
      <c r="AA13" s="88"/>
      <c r="AB13" s="88"/>
      <c r="AC13" s="88"/>
      <c r="AD13" s="88"/>
      <c r="AF13" s="88"/>
      <c r="AG13" s="88"/>
      <c r="AH13" s="88"/>
      <c r="AI13" s="88"/>
      <c r="AK13" s="88"/>
      <c r="AL13" s="88"/>
      <c r="AM13" s="88"/>
      <c r="AN13" s="88"/>
      <c r="AP13" s="88"/>
      <c r="AQ13" s="88"/>
      <c r="AR13" s="88"/>
      <c r="AS13" s="88"/>
      <c r="AU13" s="88"/>
      <c r="AV13" s="88"/>
      <c r="AW13" s="88"/>
      <c r="AX13" s="88"/>
      <c r="AZ13" s="88"/>
      <c r="BA13" s="88"/>
      <c r="BB13" s="88"/>
      <c r="BC13" s="88"/>
      <c r="BE13" s="88"/>
      <c r="BF13" s="88"/>
      <c r="BG13" s="88"/>
      <c r="BH13" s="88"/>
      <c r="BJ13" s="88"/>
      <c r="BK13" s="88"/>
      <c r="BL13" s="88"/>
      <c r="BM13" s="88"/>
      <c r="BR13" s="88"/>
      <c r="BS13" s="88"/>
      <c r="BT13" s="88"/>
      <c r="BU13" s="88"/>
      <c r="BV13" s="88"/>
      <c r="BW13" s="88"/>
      <c r="BX13" s="88"/>
    </row>
    <row r="14" spans="2:76" ht="15" customHeight="1" thickBot="1" x14ac:dyDescent="0.35">
      <c r="B14" s="189" t="s">
        <v>121</v>
      </c>
      <c r="C14" s="190"/>
      <c r="D14" s="193">
        <f>BV39</f>
        <v>0</v>
      </c>
      <c r="E14" s="194"/>
      <c r="G14" s="88"/>
      <c r="H14" s="88"/>
      <c r="I14" s="88"/>
      <c r="J14" s="88"/>
      <c r="L14" s="88"/>
      <c r="M14" s="88"/>
      <c r="N14" s="88"/>
      <c r="O14" s="88"/>
      <c r="Q14" s="88"/>
      <c r="R14" s="88"/>
      <c r="S14" s="88"/>
      <c r="T14" s="88"/>
      <c r="V14" s="88"/>
      <c r="W14" s="88"/>
      <c r="X14" s="88"/>
      <c r="Y14" s="88"/>
      <c r="AA14" s="88"/>
      <c r="AB14" s="88"/>
      <c r="AC14" s="88"/>
      <c r="AD14" s="88"/>
      <c r="AF14" s="88"/>
      <c r="AG14" s="88"/>
      <c r="AH14" s="88"/>
      <c r="AI14" s="88"/>
      <c r="AK14" s="88"/>
      <c r="AL14" s="88"/>
      <c r="AM14" s="88"/>
      <c r="AN14" s="88"/>
      <c r="AP14" s="88"/>
      <c r="AQ14" s="88"/>
      <c r="AR14" s="88"/>
      <c r="AS14" s="88"/>
      <c r="AU14" s="88"/>
      <c r="AV14" s="88"/>
      <c r="AW14" s="88"/>
      <c r="AX14" s="88"/>
      <c r="AZ14" s="88"/>
      <c r="BA14" s="88"/>
      <c r="BB14" s="88"/>
      <c r="BC14" s="88"/>
      <c r="BE14" s="88"/>
      <c r="BF14" s="88"/>
      <c r="BG14" s="88"/>
      <c r="BH14" s="88"/>
      <c r="BJ14" s="88"/>
      <c r="BK14" s="88"/>
      <c r="BL14" s="88"/>
      <c r="BM14" s="88"/>
      <c r="BR14" s="88"/>
      <c r="BS14" s="88"/>
      <c r="BT14" s="88"/>
      <c r="BU14" s="88"/>
      <c r="BV14" s="88"/>
      <c r="BW14" s="88"/>
      <c r="BX14" s="88"/>
    </row>
    <row r="15" spans="2:76" ht="15" customHeight="1" x14ac:dyDescent="0.3">
      <c r="B15" s="183" t="s">
        <v>123</v>
      </c>
      <c r="C15" s="184"/>
      <c r="D15" s="199">
        <f>D9-D12</f>
        <v>0</v>
      </c>
      <c r="E15" s="200"/>
      <c r="G15" s="88"/>
      <c r="H15" s="88"/>
      <c r="I15" s="88"/>
      <c r="J15" s="88"/>
      <c r="L15" s="88"/>
      <c r="M15" s="88"/>
      <c r="N15" s="88"/>
      <c r="O15" s="88"/>
      <c r="Q15" s="88"/>
      <c r="R15" s="88"/>
      <c r="S15" s="88"/>
      <c r="T15" s="88"/>
      <c r="V15" s="88"/>
      <c r="W15" s="88"/>
      <c r="X15" s="88"/>
      <c r="Y15" s="88"/>
      <c r="AA15" s="88"/>
      <c r="AB15" s="88"/>
      <c r="AC15" s="88"/>
      <c r="AD15" s="88"/>
      <c r="AF15" s="88"/>
      <c r="AG15" s="88"/>
      <c r="AH15" s="88"/>
      <c r="AI15" s="88"/>
      <c r="AK15" s="88"/>
      <c r="AL15" s="88"/>
      <c r="AM15" s="88"/>
      <c r="AN15" s="88"/>
      <c r="AP15" s="88"/>
      <c r="AQ15" s="88"/>
      <c r="AR15" s="88"/>
      <c r="AS15" s="88"/>
      <c r="AU15" s="88"/>
      <c r="AV15" s="88"/>
      <c r="AW15" s="88"/>
      <c r="AX15" s="88"/>
      <c r="AZ15" s="88"/>
      <c r="BA15" s="88"/>
      <c r="BB15" s="88"/>
      <c r="BC15" s="88"/>
      <c r="BE15" s="88"/>
      <c r="BF15" s="88"/>
      <c r="BG15" s="88"/>
      <c r="BH15" s="88"/>
      <c r="BJ15" s="88"/>
      <c r="BK15" s="88"/>
      <c r="BL15" s="88"/>
      <c r="BM15" s="88"/>
      <c r="BR15" s="88"/>
      <c r="BS15" s="88"/>
      <c r="BT15" s="88"/>
      <c r="BU15" s="88"/>
      <c r="BV15" s="88"/>
      <c r="BW15" s="88"/>
      <c r="BX15" s="88"/>
    </row>
    <row r="16" spans="2:76" ht="15" customHeight="1" x14ac:dyDescent="0.3">
      <c r="B16" s="228" t="s">
        <v>124</v>
      </c>
      <c r="C16" s="229"/>
      <c r="D16" s="181">
        <f>D10-D13</f>
        <v>0</v>
      </c>
      <c r="E16" s="182"/>
      <c r="G16" s="88"/>
      <c r="H16" s="88"/>
      <c r="I16" s="88"/>
      <c r="J16" s="88"/>
      <c r="L16" s="88"/>
      <c r="M16" s="88"/>
      <c r="N16" s="88"/>
      <c r="O16" s="88"/>
      <c r="Q16" s="88"/>
      <c r="R16" s="88"/>
      <c r="S16" s="88"/>
      <c r="T16" s="88"/>
      <c r="V16" s="88"/>
      <c r="W16" s="88"/>
      <c r="X16" s="88"/>
      <c r="Y16" s="88"/>
      <c r="AA16" s="88"/>
      <c r="AB16" s="88"/>
      <c r="AC16" s="88"/>
      <c r="AD16" s="88"/>
      <c r="AF16" s="88"/>
      <c r="AG16" s="88"/>
      <c r="AH16" s="88"/>
      <c r="AI16" s="88"/>
      <c r="AK16" s="88"/>
      <c r="AL16" s="88"/>
      <c r="AM16" s="88"/>
      <c r="AN16" s="88"/>
      <c r="AP16" s="88"/>
      <c r="AQ16" s="88"/>
      <c r="AR16" s="88"/>
      <c r="AS16" s="88"/>
      <c r="AU16" s="88"/>
      <c r="AV16" s="88"/>
      <c r="AW16" s="88"/>
      <c r="AX16" s="88"/>
      <c r="AZ16" s="88"/>
      <c r="BA16" s="88"/>
      <c r="BB16" s="88"/>
      <c r="BC16" s="88"/>
      <c r="BE16" s="88"/>
      <c r="BF16" s="88"/>
      <c r="BG16" s="88"/>
      <c r="BH16" s="88"/>
      <c r="BJ16" s="88"/>
      <c r="BK16" s="88"/>
      <c r="BL16" s="88"/>
      <c r="BM16" s="88"/>
      <c r="BR16" s="88"/>
      <c r="BS16" s="88"/>
      <c r="BT16" s="88"/>
      <c r="BU16" s="88"/>
      <c r="BV16" s="88"/>
      <c r="BW16" s="88"/>
      <c r="BX16" s="88"/>
    </row>
    <row r="17" spans="2:76" ht="15" customHeight="1" thickBot="1" x14ac:dyDescent="0.35">
      <c r="B17" s="197" t="s">
        <v>125</v>
      </c>
      <c r="C17" s="198"/>
      <c r="D17" s="201">
        <f>D11-D14</f>
        <v>0</v>
      </c>
      <c r="E17" s="202"/>
      <c r="G17" s="88"/>
      <c r="H17" s="88"/>
      <c r="I17" s="88"/>
      <c r="J17" s="88"/>
      <c r="L17" s="88"/>
      <c r="M17" s="88"/>
      <c r="N17" s="88"/>
      <c r="O17" s="88"/>
      <c r="Q17" s="88"/>
      <c r="R17" s="88"/>
      <c r="S17" s="88"/>
      <c r="T17" s="88"/>
      <c r="V17" s="88"/>
      <c r="W17" s="88"/>
      <c r="X17" s="88"/>
      <c r="Y17" s="88"/>
      <c r="AA17" s="88"/>
      <c r="AB17" s="88"/>
      <c r="AC17" s="88"/>
      <c r="AD17" s="88"/>
      <c r="AF17" s="88"/>
      <c r="AG17" s="88"/>
      <c r="AH17" s="88"/>
      <c r="AI17" s="88"/>
      <c r="AK17" s="88"/>
      <c r="AL17" s="88"/>
      <c r="AM17" s="88"/>
      <c r="AN17" s="88"/>
      <c r="AP17" s="88"/>
      <c r="AQ17" s="88"/>
      <c r="AR17" s="88"/>
      <c r="AS17" s="88"/>
      <c r="AU17" s="88"/>
      <c r="AV17" s="88"/>
      <c r="AW17" s="88"/>
      <c r="AX17" s="88"/>
      <c r="AZ17" s="88"/>
      <c r="BA17" s="88"/>
      <c r="BB17" s="88"/>
      <c r="BC17" s="88"/>
      <c r="BE17" s="88"/>
      <c r="BF17" s="88"/>
      <c r="BG17" s="88"/>
      <c r="BH17" s="88"/>
      <c r="BJ17" s="88"/>
      <c r="BK17" s="88"/>
      <c r="BL17" s="88"/>
      <c r="BM17" s="88"/>
      <c r="BR17" s="88"/>
      <c r="BS17" s="88"/>
      <c r="BT17" s="88"/>
      <c r="BU17" s="88"/>
      <c r="BV17" s="88"/>
      <c r="BW17" s="88"/>
      <c r="BX17" s="88"/>
    </row>
    <row r="18" spans="2:76" ht="15" customHeight="1" thickBot="1" x14ac:dyDescent="0.35">
      <c r="G18" s="88"/>
      <c r="H18" s="88"/>
      <c r="I18" s="88"/>
      <c r="J18" s="88"/>
      <c r="L18" s="88"/>
      <c r="M18" s="88"/>
      <c r="N18" s="88"/>
      <c r="O18" s="88"/>
      <c r="Q18" s="88"/>
      <c r="R18" s="88"/>
      <c r="S18" s="88"/>
      <c r="T18" s="88"/>
      <c r="V18" s="88"/>
      <c r="W18" s="88"/>
      <c r="X18" s="88"/>
      <c r="Y18" s="88"/>
      <c r="AA18" s="88"/>
      <c r="AB18" s="88"/>
      <c r="AC18" s="88"/>
      <c r="AD18" s="88"/>
      <c r="AF18" s="88"/>
      <c r="AG18" s="88"/>
      <c r="AH18" s="88"/>
      <c r="AI18" s="88"/>
      <c r="AK18" s="88"/>
      <c r="AL18" s="88"/>
      <c r="AM18" s="88"/>
      <c r="AN18" s="88"/>
      <c r="AP18" s="88"/>
      <c r="AQ18" s="88"/>
      <c r="AR18" s="88"/>
      <c r="AS18" s="88"/>
      <c r="AU18" s="88"/>
      <c r="AV18" s="88"/>
      <c r="AW18" s="88"/>
      <c r="AX18" s="88"/>
      <c r="AZ18" s="88"/>
      <c r="BA18" s="88"/>
      <c r="BB18" s="88"/>
      <c r="BC18" s="88"/>
      <c r="BE18" s="88"/>
      <c r="BF18" s="88"/>
      <c r="BG18" s="88"/>
      <c r="BH18" s="88"/>
      <c r="BJ18" s="88"/>
      <c r="BK18" s="88"/>
      <c r="BL18" s="88"/>
      <c r="BM18" s="88"/>
      <c r="BR18" s="88"/>
      <c r="BS18" s="88"/>
      <c r="BT18" s="88"/>
      <c r="BU18" s="88"/>
      <c r="BV18" s="88"/>
      <c r="BW18" s="88"/>
      <c r="BX18" s="88"/>
    </row>
    <row r="19" spans="2:76" ht="15" customHeight="1" x14ac:dyDescent="0.3">
      <c r="B19" s="218" t="s">
        <v>131</v>
      </c>
      <c r="C19" s="219"/>
      <c r="D19" s="222" t="e">
        <f>D9/D8</f>
        <v>#DIV/0!</v>
      </c>
      <c r="E19" s="223"/>
      <c r="G19" s="88"/>
      <c r="H19" s="88"/>
      <c r="I19" s="88"/>
      <c r="J19" s="88"/>
      <c r="L19" s="88"/>
      <c r="M19" s="88"/>
      <c r="N19" s="88"/>
      <c r="O19" s="88"/>
      <c r="Q19" s="88"/>
      <c r="R19" s="88"/>
      <c r="S19" s="88"/>
      <c r="T19" s="88"/>
      <c r="V19" s="88"/>
      <c r="W19" s="88"/>
      <c r="X19" s="88"/>
      <c r="Y19" s="88"/>
      <c r="AA19" s="88"/>
      <c r="AB19" s="88"/>
      <c r="AC19" s="88"/>
      <c r="AD19" s="88"/>
      <c r="AF19" s="88"/>
      <c r="AG19" s="88"/>
      <c r="AH19" s="88"/>
      <c r="AI19" s="88"/>
      <c r="AK19" s="88"/>
      <c r="AL19" s="88"/>
      <c r="AM19" s="88"/>
      <c r="AN19" s="88"/>
      <c r="AP19" s="88"/>
      <c r="AQ19" s="88"/>
      <c r="AR19" s="88"/>
      <c r="AS19" s="88"/>
      <c r="AU19" s="88"/>
      <c r="AV19" s="88"/>
      <c r="AW19" s="88"/>
      <c r="AX19" s="88"/>
      <c r="AZ19" s="88"/>
      <c r="BA19" s="88"/>
      <c r="BB19" s="88"/>
      <c r="BC19" s="88"/>
      <c r="BE19" s="88"/>
      <c r="BF19" s="88"/>
      <c r="BG19" s="88"/>
      <c r="BH19" s="88"/>
      <c r="BJ19" s="88"/>
      <c r="BK19" s="88"/>
      <c r="BL19" s="88"/>
      <c r="BM19" s="88"/>
      <c r="BR19" s="88"/>
      <c r="BS19" s="88"/>
      <c r="BT19" s="88"/>
      <c r="BU19" s="88"/>
      <c r="BV19" s="88"/>
      <c r="BW19" s="88"/>
      <c r="BX19" s="88"/>
    </row>
    <row r="20" spans="2:76" ht="15" customHeight="1" thickBot="1" x14ac:dyDescent="0.35">
      <c r="B20" s="220"/>
      <c r="C20" s="221"/>
      <c r="D20" s="224"/>
      <c r="E20" s="225"/>
      <c r="G20" s="88"/>
      <c r="H20" s="88"/>
      <c r="I20" s="88"/>
      <c r="J20" s="88"/>
      <c r="L20" s="88"/>
      <c r="M20" s="88"/>
      <c r="N20" s="88"/>
      <c r="O20" s="88"/>
      <c r="Q20" s="88"/>
      <c r="R20" s="88"/>
      <c r="S20" s="88"/>
      <c r="T20" s="88"/>
      <c r="V20" s="88"/>
      <c r="W20" s="88"/>
      <c r="X20" s="88"/>
      <c r="Y20" s="88"/>
      <c r="AA20" s="88"/>
      <c r="AB20" s="88"/>
      <c r="AC20" s="88"/>
      <c r="AD20" s="88"/>
      <c r="AF20" s="88"/>
      <c r="AG20" s="88"/>
      <c r="AH20" s="88"/>
      <c r="AI20" s="88"/>
      <c r="AK20" s="88"/>
      <c r="AL20" s="88"/>
      <c r="AM20" s="88"/>
      <c r="AN20" s="88"/>
      <c r="AP20" s="88"/>
      <c r="AQ20" s="88"/>
      <c r="AR20" s="88"/>
      <c r="AS20" s="88"/>
      <c r="AU20" s="88"/>
      <c r="AV20" s="88"/>
      <c r="AW20" s="88"/>
      <c r="AX20" s="88"/>
      <c r="AZ20" s="88"/>
      <c r="BA20" s="88"/>
      <c r="BB20" s="88"/>
      <c r="BC20" s="88"/>
      <c r="BE20" s="88"/>
      <c r="BF20" s="88"/>
      <c r="BG20" s="88"/>
      <c r="BH20" s="88"/>
      <c r="BJ20" s="88"/>
      <c r="BK20" s="88"/>
      <c r="BL20" s="88"/>
      <c r="BM20" s="88"/>
      <c r="BR20" s="88"/>
      <c r="BS20" s="88"/>
      <c r="BT20" s="88"/>
      <c r="BU20" s="88"/>
      <c r="BV20" s="88"/>
      <c r="BW20" s="88"/>
      <c r="BX20" s="88"/>
    </row>
    <row r="21" spans="2:76" ht="15" customHeight="1" x14ac:dyDescent="0.3">
      <c r="G21" s="88"/>
      <c r="H21" s="88"/>
      <c r="I21" s="88"/>
      <c r="J21" s="88"/>
      <c r="L21" s="88"/>
      <c r="M21" s="88"/>
      <c r="N21" s="88"/>
      <c r="O21" s="88"/>
      <c r="Q21" s="88"/>
      <c r="R21" s="88"/>
      <c r="S21" s="88"/>
      <c r="T21" s="88"/>
      <c r="V21" s="88"/>
      <c r="W21" s="88"/>
      <c r="X21" s="88"/>
      <c r="Y21" s="88"/>
      <c r="AA21" s="88"/>
      <c r="AB21" s="88"/>
      <c r="AC21" s="88"/>
      <c r="AD21" s="88"/>
      <c r="AF21" s="88"/>
      <c r="AG21" s="88"/>
      <c r="AH21" s="88"/>
      <c r="AI21" s="88"/>
      <c r="AK21" s="88"/>
      <c r="AL21" s="88"/>
      <c r="AM21" s="88"/>
      <c r="AN21" s="88"/>
      <c r="AP21" s="88"/>
      <c r="AQ21" s="88"/>
      <c r="AR21" s="88"/>
      <c r="AS21" s="88"/>
      <c r="AU21" s="88"/>
      <c r="AV21" s="88"/>
      <c r="AW21" s="88"/>
      <c r="AX21" s="88"/>
      <c r="AZ21" s="88"/>
      <c r="BA21" s="88"/>
      <c r="BB21" s="88"/>
      <c r="BC21" s="88"/>
      <c r="BE21" s="88"/>
      <c r="BF21" s="88"/>
      <c r="BG21" s="88"/>
      <c r="BH21" s="88"/>
      <c r="BJ21" s="88"/>
      <c r="BK21" s="88"/>
      <c r="BL21" s="88"/>
      <c r="BM21" s="88"/>
      <c r="BR21" s="88"/>
      <c r="BS21" s="88"/>
      <c r="BT21" s="88"/>
      <c r="BU21" s="88"/>
      <c r="BV21" s="88"/>
      <c r="BW21" s="88"/>
      <c r="BX21" s="88"/>
    </row>
    <row r="22" spans="2:76" ht="15" customHeight="1" x14ac:dyDescent="0.3">
      <c r="G22" s="88"/>
      <c r="H22" s="88"/>
      <c r="I22" s="88"/>
      <c r="J22" s="88"/>
      <c r="L22" s="88"/>
      <c r="M22" s="88"/>
      <c r="N22" s="88"/>
      <c r="O22" s="88"/>
      <c r="Q22" s="88"/>
      <c r="R22" s="88"/>
      <c r="S22" s="88"/>
      <c r="T22" s="88"/>
      <c r="V22" s="88"/>
      <c r="W22" s="88"/>
      <c r="X22" s="88"/>
      <c r="Y22" s="88"/>
      <c r="AA22" s="88"/>
      <c r="AB22" s="88"/>
      <c r="AC22" s="88"/>
      <c r="AD22" s="88"/>
      <c r="AF22" s="88"/>
      <c r="AG22" s="88"/>
      <c r="AH22" s="88"/>
      <c r="AI22" s="88"/>
      <c r="AK22" s="88"/>
      <c r="AL22" s="88"/>
      <c r="AM22" s="88"/>
      <c r="AN22" s="88"/>
      <c r="AP22" s="88"/>
      <c r="AQ22" s="88"/>
      <c r="AR22" s="88"/>
      <c r="AS22" s="88"/>
      <c r="AU22" s="88"/>
      <c r="AV22" s="88"/>
      <c r="AW22" s="88"/>
      <c r="AX22" s="88"/>
      <c r="AZ22" s="88"/>
      <c r="BA22" s="88"/>
      <c r="BB22" s="88"/>
      <c r="BC22" s="88"/>
      <c r="BE22" s="88"/>
      <c r="BF22" s="88"/>
      <c r="BG22" s="88"/>
      <c r="BH22" s="88"/>
      <c r="BJ22" s="88"/>
      <c r="BK22" s="88"/>
      <c r="BL22" s="88"/>
      <c r="BM22" s="88"/>
      <c r="BR22" s="88"/>
      <c r="BS22" s="88"/>
      <c r="BT22" s="88"/>
      <c r="BU22" s="88"/>
      <c r="BV22" s="88"/>
      <c r="BW22" s="88"/>
      <c r="BX22" s="88"/>
    </row>
    <row r="23" spans="2:76" ht="15" customHeight="1" x14ac:dyDescent="0.3">
      <c r="G23" s="88"/>
      <c r="H23" s="88"/>
      <c r="I23" s="88"/>
      <c r="J23" s="88"/>
      <c r="L23" s="88"/>
      <c r="M23" s="88"/>
      <c r="N23" s="88"/>
      <c r="O23" s="88"/>
      <c r="Q23" s="88"/>
      <c r="R23" s="88"/>
      <c r="S23" s="88"/>
      <c r="T23" s="88"/>
      <c r="V23" s="88"/>
      <c r="W23" s="88"/>
      <c r="X23" s="88"/>
      <c r="Y23" s="88"/>
      <c r="AA23" s="88"/>
      <c r="AB23" s="88"/>
      <c r="AC23" s="88"/>
      <c r="AD23" s="88"/>
      <c r="AF23" s="88"/>
      <c r="AG23" s="88"/>
      <c r="AH23" s="88"/>
      <c r="AI23" s="88"/>
      <c r="AK23" s="88"/>
      <c r="AL23" s="88"/>
      <c r="AM23" s="88"/>
      <c r="AN23" s="88"/>
      <c r="AP23" s="88"/>
      <c r="AQ23" s="88"/>
      <c r="AR23" s="88"/>
      <c r="AS23" s="88"/>
      <c r="AU23" s="88"/>
      <c r="AV23" s="88"/>
      <c r="AW23" s="88"/>
      <c r="AX23" s="88"/>
      <c r="AZ23" s="88"/>
      <c r="BA23" s="88"/>
      <c r="BB23" s="88"/>
      <c r="BC23" s="88"/>
      <c r="BE23" s="88"/>
      <c r="BF23" s="88"/>
      <c r="BG23" s="88"/>
      <c r="BH23" s="88"/>
      <c r="BJ23" s="88"/>
      <c r="BK23" s="88"/>
      <c r="BL23" s="88"/>
      <c r="BM23" s="88"/>
      <c r="BR23" s="88"/>
      <c r="BS23" s="88"/>
      <c r="BT23" s="88"/>
      <c r="BU23" s="88"/>
      <c r="BV23" s="88"/>
      <c r="BW23" s="88"/>
      <c r="BX23" s="88"/>
    </row>
    <row r="24" spans="2:76" ht="15" customHeight="1" x14ac:dyDescent="0.3">
      <c r="G24" s="88"/>
      <c r="H24" s="88"/>
      <c r="I24" s="88"/>
      <c r="J24" s="88"/>
      <c r="L24" s="88"/>
      <c r="M24" s="88"/>
      <c r="N24" s="88"/>
      <c r="O24" s="88"/>
      <c r="Q24" s="88"/>
      <c r="R24" s="88"/>
      <c r="S24" s="88"/>
      <c r="T24" s="88"/>
      <c r="V24" s="88"/>
      <c r="W24" s="88"/>
      <c r="X24" s="88"/>
      <c r="Y24" s="88"/>
      <c r="AA24" s="88"/>
      <c r="AB24" s="88"/>
      <c r="AC24" s="88"/>
      <c r="AD24" s="88"/>
      <c r="AF24" s="88"/>
      <c r="AG24" s="88"/>
      <c r="AH24" s="88"/>
      <c r="AI24" s="88"/>
      <c r="AK24" s="88"/>
      <c r="AL24" s="88"/>
      <c r="AM24" s="88"/>
      <c r="AN24" s="88"/>
      <c r="AP24" s="88"/>
      <c r="AQ24" s="88"/>
      <c r="AR24" s="88"/>
      <c r="AS24" s="88"/>
      <c r="AU24" s="88"/>
      <c r="AV24" s="88"/>
      <c r="AW24" s="88"/>
      <c r="AX24" s="88"/>
      <c r="AZ24" s="88"/>
      <c r="BA24" s="88"/>
      <c r="BB24" s="88"/>
      <c r="BC24" s="88"/>
      <c r="BE24" s="88"/>
      <c r="BF24" s="88"/>
      <c r="BG24" s="88"/>
      <c r="BH24" s="88"/>
      <c r="BJ24" s="88"/>
      <c r="BK24" s="88"/>
      <c r="BL24" s="88"/>
      <c r="BM24" s="88"/>
      <c r="BR24" s="88"/>
      <c r="BS24" s="88"/>
      <c r="BT24" s="88"/>
      <c r="BU24" s="88"/>
      <c r="BV24" s="88"/>
      <c r="BW24" s="88"/>
      <c r="BX24" s="88"/>
    </row>
    <row r="25" spans="2:76" ht="15" customHeight="1" x14ac:dyDescent="0.3">
      <c r="G25" s="88"/>
      <c r="H25" s="88"/>
      <c r="I25" s="88"/>
      <c r="J25" s="88"/>
      <c r="L25" s="88"/>
      <c r="M25" s="88"/>
      <c r="N25" s="88"/>
      <c r="O25" s="88"/>
      <c r="Q25" s="88"/>
      <c r="R25" s="88"/>
      <c r="S25" s="88"/>
      <c r="T25" s="88"/>
      <c r="V25" s="88"/>
      <c r="W25" s="88"/>
      <c r="X25" s="88"/>
      <c r="Y25" s="88"/>
      <c r="AA25" s="88"/>
      <c r="AB25" s="88"/>
      <c r="AC25" s="88"/>
      <c r="AD25" s="88"/>
      <c r="AF25" s="88"/>
      <c r="AG25" s="88"/>
      <c r="AH25" s="88"/>
      <c r="AI25" s="88"/>
      <c r="AK25" s="88"/>
      <c r="AL25" s="88"/>
      <c r="AM25" s="88"/>
      <c r="AN25" s="88"/>
      <c r="AP25" s="88"/>
      <c r="AQ25" s="88"/>
      <c r="AR25" s="88"/>
      <c r="AS25" s="88"/>
      <c r="AU25" s="88"/>
      <c r="AV25" s="88"/>
      <c r="AW25" s="88"/>
      <c r="AX25" s="88"/>
      <c r="AZ25" s="88"/>
      <c r="BA25" s="88"/>
      <c r="BB25" s="88"/>
      <c r="BC25" s="88"/>
      <c r="BE25" s="88"/>
      <c r="BF25" s="88"/>
      <c r="BG25" s="88"/>
      <c r="BH25" s="88"/>
      <c r="BJ25" s="88"/>
      <c r="BK25" s="88"/>
      <c r="BL25" s="88"/>
      <c r="BM25" s="88"/>
      <c r="BR25" s="88"/>
      <c r="BS25" s="88"/>
      <c r="BT25" s="88"/>
      <c r="BU25" s="88"/>
      <c r="BV25" s="88"/>
      <c r="BW25" s="88"/>
      <c r="BX25" s="88"/>
    </row>
    <row r="26" spans="2:76" ht="15" customHeight="1" x14ac:dyDescent="0.3">
      <c r="G26" s="88"/>
      <c r="H26" s="88"/>
      <c r="I26" s="88"/>
      <c r="J26" s="88"/>
      <c r="L26" s="88"/>
      <c r="M26" s="88"/>
      <c r="N26" s="88"/>
      <c r="O26" s="88"/>
      <c r="Q26" s="88"/>
      <c r="R26" s="88"/>
      <c r="S26" s="88"/>
      <c r="T26" s="88"/>
      <c r="V26" s="88"/>
      <c r="W26" s="88"/>
      <c r="X26" s="88"/>
      <c r="Y26" s="88"/>
      <c r="AA26" s="88"/>
      <c r="AB26" s="88"/>
      <c r="AC26" s="88"/>
      <c r="AD26" s="88"/>
      <c r="AF26" s="88"/>
      <c r="AG26" s="88"/>
      <c r="AH26" s="88"/>
      <c r="AI26" s="88"/>
      <c r="AK26" s="88"/>
      <c r="AL26" s="88"/>
      <c r="AM26" s="88"/>
      <c r="AN26" s="88"/>
      <c r="AP26" s="88"/>
      <c r="AQ26" s="88"/>
      <c r="AR26" s="88"/>
      <c r="AS26" s="88"/>
      <c r="AU26" s="88"/>
      <c r="AV26" s="88"/>
      <c r="AW26" s="88"/>
      <c r="AX26" s="88"/>
      <c r="AZ26" s="88"/>
      <c r="BA26" s="88"/>
      <c r="BB26" s="88"/>
      <c r="BC26" s="88"/>
      <c r="BE26" s="88"/>
      <c r="BF26" s="88"/>
      <c r="BG26" s="88"/>
      <c r="BH26" s="88"/>
      <c r="BJ26" s="88"/>
      <c r="BK26" s="88"/>
      <c r="BL26" s="88"/>
      <c r="BM26" s="88"/>
      <c r="BR26" s="88"/>
      <c r="BS26" s="88"/>
      <c r="BT26" s="88"/>
      <c r="BU26" s="88"/>
      <c r="BV26" s="88"/>
      <c r="BW26" s="88"/>
      <c r="BX26" s="88"/>
    </row>
    <row r="27" spans="2:76" ht="15" customHeight="1" x14ac:dyDescent="0.3">
      <c r="G27" s="88"/>
      <c r="H27" s="88"/>
      <c r="I27" s="88"/>
      <c r="J27" s="88"/>
      <c r="L27" s="88"/>
      <c r="M27" s="88"/>
      <c r="N27" s="88"/>
      <c r="O27" s="88"/>
      <c r="Q27" s="88"/>
      <c r="R27" s="88"/>
      <c r="S27" s="88"/>
      <c r="T27" s="88"/>
      <c r="V27" s="88"/>
      <c r="W27" s="88"/>
      <c r="X27" s="88"/>
      <c r="Y27" s="88"/>
      <c r="AA27" s="88"/>
      <c r="AB27" s="88"/>
      <c r="AC27" s="88"/>
      <c r="AD27" s="88"/>
      <c r="AF27" s="88"/>
      <c r="AG27" s="88"/>
      <c r="AH27" s="88"/>
      <c r="AI27" s="88"/>
      <c r="AK27" s="88"/>
      <c r="AL27" s="88"/>
      <c r="AM27" s="88"/>
      <c r="AN27" s="88"/>
      <c r="AP27" s="88"/>
      <c r="AQ27" s="88"/>
      <c r="AR27" s="88"/>
      <c r="AS27" s="88"/>
      <c r="AU27" s="88"/>
      <c r="AV27" s="88"/>
      <c r="AW27" s="88"/>
      <c r="AX27" s="88"/>
      <c r="AZ27" s="88"/>
      <c r="BA27" s="88"/>
      <c r="BB27" s="88"/>
      <c r="BC27" s="88"/>
      <c r="BE27" s="88"/>
      <c r="BF27" s="88"/>
      <c r="BG27" s="88"/>
      <c r="BH27" s="88"/>
      <c r="BJ27" s="88"/>
      <c r="BK27" s="88"/>
      <c r="BL27" s="88"/>
      <c r="BM27" s="88"/>
      <c r="BR27" s="88"/>
      <c r="BS27" s="88"/>
      <c r="BT27" s="88"/>
      <c r="BU27" s="88"/>
      <c r="BV27" s="88"/>
      <c r="BW27" s="88"/>
      <c r="BX27" s="88"/>
    </row>
    <row r="28" spans="2:76" ht="15" customHeight="1" x14ac:dyDescent="0.3">
      <c r="G28" s="88"/>
      <c r="H28" s="88"/>
      <c r="I28" s="88"/>
      <c r="J28" s="88"/>
      <c r="L28" s="88"/>
      <c r="M28" s="88"/>
      <c r="N28" s="88"/>
      <c r="O28" s="88"/>
      <c r="Q28" s="88"/>
      <c r="R28" s="88"/>
      <c r="S28" s="88"/>
      <c r="T28" s="88"/>
      <c r="V28" s="88"/>
      <c r="W28" s="88"/>
      <c r="X28" s="88"/>
      <c r="Y28" s="88"/>
      <c r="AA28" s="88"/>
      <c r="AB28" s="88"/>
      <c r="AC28" s="88"/>
      <c r="AD28" s="88"/>
      <c r="AF28" s="88"/>
      <c r="AG28" s="88"/>
      <c r="AH28" s="88"/>
      <c r="AI28" s="88"/>
      <c r="AK28" s="88"/>
      <c r="AL28" s="88"/>
      <c r="AM28" s="88"/>
      <c r="AN28" s="88"/>
      <c r="AP28" s="88"/>
      <c r="AQ28" s="88"/>
      <c r="AR28" s="88"/>
      <c r="AS28" s="88"/>
      <c r="AU28" s="88"/>
      <c r="AV28" s="88"/>
      <c r="AW28" s="88"/>
      <c r="AX28" s="88"/>
      <c r="AZ28" s="88"/>
      <c r="BA28" s="88"/>
      <c r="BB28" s="88"/>
      <c r="BC28" s="88"/>
      <c r="BE28" s="88"/>
      <c r="BF28" s="88"/>
      <c r="BG28" s="88"/>
      <c r="BH28" s="88"/>
      <c r="BJ28" s="88"/>
      <c r="BK28" s="88"/>
      <c r="BL28" s="88"/>
      <c r="BM28" s="88"/>
      <c r="BR28" s="88"/>
      <c r="BS28" s="88"/>
      <c r="BT28" s="88"/>
      <c r="BU28" s="88"/>
      <c r="BV28" s="88"/>
      <c r="BW28" s="88"/>
      <c r="BX28" s="88"/>
    </row>
    <row r="29" spans="2:76" ht="15" customHeight="1" x14ac:dyDescent="0.3">
      <c r="G29" s="88"/>
      <c r="H29" s="88"/>
      <c r="I29" s="88"/>
      <c r="J29" s="88"/>
      <c r="L29" s="88"/>
      <c r="M29" s="88"/>
      <c r="N29" s="88"/>
      <c r="O29" s="88"/>
      <c r="Q29" s="88"/>
      <c r="R29" s="88"/>
      <c r="S29" s="88"/>
      <c r="T29" s="88"/>
      <c r="V29" s="88"/>
      <c r="W29" s="88"/>
      <c r="X29" s="88"/>
      <c r="Y29" s="88"/>
      <c r="AA29" s="88"/>
      <c r="AB29" s="88"/>
      <c r="AC29" s="88"/>
      <c r="AD29" s="88"/>
      <c r="AF29" s="88"/>
      <c r="AG29" s="88"/>
      <c r="AH29" s="88"/>
      <c r="AI29" s="88"/>
      <c r="AK29" s="88"/>
      <c r="AL29" s="88"/>
      <c r="AM29" s="88"/>
      <c r="AN29" s="88"/>
      <c r="AP29" s="88"/>
      <c r="AQ29" s="88"/>
      <c r="AR29" s="88"/>
      <c r="AS29" s="88"/>
      <c r="AU29" s="88"/>
      <c r="AV29" s="88"/>
      <c r="AW29" s="88"/>
      <c r="AX29" s="88"/>
      <c r="AZ29" s="88"/>
      <c r="BA29" s="88"/>
      <c r="BB29" s="88"/>
      <c r="BC29" s="88"/>
      <c r="BE29" s="88"/>
      <c r="BF29" s="88"/>
      <c r="BG29" s="88"/>
      <c r="BH29" s="88"/>
      <c r="BJ29" s="88"/>
      <c r="BK29" s="88"/>
      <c r="BL29" s="88"/>
      <c r="BM29" s="88"/>
      <c r="BR29" s="88"/>
      <c r="BS29" s="88"/>
      <c r="BT29" s="88"/>
      <c r="BU29" s="88"/>
      <c r="BV29" s="88"/>
      <c r="BW29" s="88"/>
      <c r="BX29" s="88"/>
    </row>
    <row r="30" spans="2:76" ht="15" customHeight="1" x14ac:dyDescent="0.3">
      <c r="G30" s="88"/>
      <c r="H30" s="88"/>
      <c r="I30" s="88"/>
      <c r="J30" s="88"/>
      <c r="L30" s="88"/>
      <c r="M30" s="88"/>
      <c r="N30" s="88"/>
      <c r="O30" s="88"/>
      <c r="Q30" s="88"/>
      <c r="R30" s="88"/>
      <c r="S30" s="88"/>
      <c r="T30" s="88"/>
      <c r="V30" s="88"/>
      <c r="W30" s="88"/>
      <c r="X30" s="88"/>
      <c r="Y30" s="88"/>
      <c r="AA30" s="88"/>
      <c r="AB30" s="88"/>
      <c r="AC30" s="88"/>
      <c r="AD30" s="88"/>
      <c r="AF30" s="88"/>
      <c r="AG30" s="88"/>
      <c r="AH30" s="88"/>
      <c r="AI30" s="88"/>
      <c r="AK30" s="88"/>
      <c r="AL30" s="88"/>
      <c r="AM30" s="88"/>
      <c r="AN30" s="88"/>
      <c r="AP30" s="88"/>
      <c r="AQ30" s="88"/>
      <c r="AR30" s="88"/>
      <c r="AS30" s="88"/>
      <c r="AU30" s="88"/>
      <c r="AV30" s="88"/>
      <c r="AW30" s="88"/>
      <c r="AX30" s="88"/>
      <c r="AZ30" s="88"/>
      <c r="BA30" s="88"/>
      <c r="BB30" s="88"/>
      <c r="BC30" s="88"/>
      <c r="BE30" s="88"/>
      <c r="BF30" s="88"/>
      <c r="BG30" s="88"/>
      <c r="BH30" s="88"/>
      <c r="BJ30" s="88"/>
      <c r="BK30" s="88"/>
      <c r="BL30" s="88"/>
      <c r="BM30" s="88"/>
      <c r="BR30" s="88"/>
      <c r="BS30" s="88"/>
      <c r="BT30" s="88"/>
      <c r="BU30" s="88"/>
      <c r="BV30" s="88"/>
      <c r="BW30" s="88"/>
      <c r="BX30" s="88"/>
    </row>
    <row r="31" spans="2:76" ht="15" customHeight="1" x14ac:dyDescent="0.3">
      <c r="G31" s="88"/>
      <c r="H31" s="88"/>
      <c r="I31" s="88"/>
      <c r="J31" s="88"/>
      <c r="L31" s="88"/>
      <c r="M31" s="88"/>
      <c r="N31" s="88"/>
      <c r="O31" s="88"/>
      <c r="Q31" s="88"/>
      <c r="R31" s="88"/>
      <c r="S31" s="88"/>
      <c r="T31" s="88"/>
      <c r="V31" s="88"/>
      <c r="W31" s="88"/>
      <c r="X31" s="88"/>
      <c r="Y31" s="88"/>
      <c r="AA31" s="88"/>
      <c r="AB31" s="88"/>
      <c r="AC31" s="88"/>
      <c r="AD31" s="88"/>
      <c r="AF31" s="88"/>
      <c r="AG31" s="88"/>
      <c r="AH31" s="88"/>
      <c r="AI31" s="88"/>
      <c r="AK31" s="88"/>
      <c r="AL31" s="88"/>
      <c r="AM31" s="88"/>
      <c r="AN31" s="88"/>
      <c r="AP31" s="88"/>
      <c r="AQ31" s="88"/>
      <c r="AR31" s="88"/>
      <c r="AS31" s="88"/>
      <c r="AU31" s="88"/>
      <c r="AV31" s="88"/>
      <c r="AW31" s="88"/>
      <c r="AX31" s="88"/>
      <c r="AZ31" s="88"/>
      <c r="BA31" s="88"/>
      <c r="BB31" s="88"/>
      <c r="BC31" s="88"/>
      <c r="BE31" s="88"/>
      <c r="BF31" s="88"/>
      <c r="BG31" s="88"/>
      <c r="BH31" s="88"/>
      <c r="BJ31" s="88"/>
      <c r="BK31" s="88"/>
      <c r="BL31" s="88"/>
      <c r="BM31" s="88"/>
      <c r="BR31" s="88"/>
      <c r="BS31" s="88"/>
      <c r="BT31" s="88"/>
      <c r="BU31" s="88"/>
      <c r="BV31" s="88"/>
      <c r="BW31" s="88"/>
      <c r="BX31" s="88"/>
    </row>
    <row r="32" spans="2:76" ht="15" customHeight="1" x14ac:dyDescent="0.3">
      <c r="G32" s="88"/>
      <c r="H32" s="88"/>
      <c r="I32" s="88"/>
      <c r="J32" s="88"/>
      <c r="L32" s="88"/>
      <c r="M32" s="88"/>
      <c r="N32" s="88"/>
      <c r="O32" s="88"/>
      <c r="Q32" s="88"/>
      <c r="R32" s="88"/>
      <c r="S32" s="88"/>
      <c r="T32" s="88"/>
      <c r="V32" s="88"/>
      <c r="W32" s="88"/>
      <c r="X32" s="88"/>
      <c r="Y32" s="88"/>
      <c r="AA32" s="88"/>
      <c r="AB32" s="88"/>
      <c r="AC32" s="88"/>
      <c r="AD32" s="88"/>
      <c r="AF32" s="88"/>
      <c r="AG32" s="88"/>
      <c r="AH32" s="88"/>
      <c r="AI32" s="88"/>
      <c r="AK32" s="88"/>
      <c r="AL32" s="88"/>
      <c r="AM32" s="88"/>
      <c r="AN32" s="88"/>
      <c r="AP32" s="88"/>
      <c r="AQ32" s="88"/>
      <c r="AR32" s="88"/>
      <c r="AS32" s="88"/>
      <c r="AU32" s="88"/>
      <c r="AV32" s="88"/>
      <c r="AW32" s="88"/>
      <c r="AX32" s="88"/>
      <c r="AZ32" s="88"/>
      <c r="BA32" s="88"/>
      <c r="BB32" s="88"/>
      <c r="BC32" s="88"/>
      <c r="BE32" s="88"/>
      <c r="BF32" s="88"/>
      <c r="BG32" s="88"/>
      <c r="BH32" s="88"/>
      <c r="BJ32" s="88"/>
      <c r="BK32" s="88"/>
      <c r="BL32" s="88"/>
      <c r="BM32" s="88"/>
      <c r="BR32" s="88"/>
      <c r="BS32" s="88"/>
      <c r="BT32" s="88"/>
      <c r="BU32" s="88"/>
      <c r="BV32" s="88"/>
      <c r="BW32" s="88"/>
      <c r="BX32" s="88"/>
    </row>
    <row r="33" spans="7:76" ht="15" customHeight="1" x14ac:dyDescent="0.3">
      <c r="G33" s="88"/>
      <c r="H33" s="88"/>
      <c r="I33" s="88"/>
      <c r="J33" s="88"/>
      <c r="L33" s="88"/>
      <c r="M33" s="88"/>
      <c r="N33" s="88"/>
      <c r="O33" s="88"/>
      <c r="Q33" s="88"/>
      <c r="R33" s="88"/>
      <c r="S33" s="88"/>
      <c r="T33" s="88"/>
      <c r="V33" s="88"/>
      <c r="W33" s="88"/>
      <c r="X33" s="88"/>
      <c r="Y33" s="88"/>
      <c r="AA33" s="88"/>
      <c r="AB33" s="88"/>
      <c r="AC33" s="88"/>
      <c r="AD33" s="88"/>
      <c r="AF33" s="88"/>
      <c r="AG33" s="88"/>
      <c r="AH33" s="88"/>
      <c r="AI33" s="88"/>
      <c r="AK33" s="88"/>
      <c r="AL33" s="88"/>
      <c r="AM33" s="88"/>
      <c r="AN33" s="88"/>
      <c r="AP33" s="88"/>
      <c r="AQ33" s="88"/>
      <c r="AR33" s="88"/>
      <c r="AS33" s="88"/>
      <c r="AU33" s="88"/>
      <c r="AV33" s="88"/>
      <c r="AW33" s="88"/>
      <c r="AX33" s="88"/>
      <c r="AZ33" s="88"/>
      <c r="BA33" s="88"/>
      <c r="BB33" s="88"/>
      <c r="BC33" s="88"/>
      <c r="BE33" s="88"/>
      <c r="BF33" s="88"/>
      <c r="BG33" s="88"/>
      <c r="BH33" s="88"/>
      <c r="BJ33" s="88"/>
      <c r="BK33" s="88"/>
      <c r="BL33" s="88"/>
      <c r="BM33" s="88"/>
      <c r="BR33" s="88"/>
      <c r="BS33" s="88"/>
      <c r="BT33" s="88"/>
      <c r="BU33" s="88"/>
      <c r="BV33" s="88"/>
      <c r="BW33" s="88"/>
      <c r="BX33" s="88"/>
    </row>
    <row r="34" spans="7:76" ht="15" customHeight="1" x14ac:dyDescent="0.3">
      <c r="G34" s="88"/>
      <c r="H34" s="88"/>
      <c r="I34" s="88"/>
      <c r="J34" s="88"/>
      <c r="L34" s="88"/>
      <c r="M34" s="88"/>
      <c r="N34" s="88"/>
      <c r="O34" s="88"/>
      <c r="Q34" s="88"/>
      <c r="R34" s="88"/>
      <c r="S34" s="88"/>
      <c r="T34" s="88"/>
      <c r="V34" s="88"/>
      <c r="W34" s="88"/>
      <c r="X34" s="88"/>
      <c r="Y34" s="88"/>
      <c r="AA34" s="88"/>
      <c r="AB34" s="88"/>
      <c r="AC34" s="88"/>
      <c r="AD34" s="88"/>
      <c r="AF34" s="88"/>
      <c r="AG34" s="88"/>
      <c r="AH34" s="88"/>
      <c r="AI34" s="88"/>
      <c r="AK34" s="88"/>
      <c r="AL34" s="88"/>
      <c r="AM34" s="88"/>
      <c r="AN34" s="88"/>
      <c r="AP34" s="88"/>
      <c r="AQ34" s="88"/>
      <c r="AR34" s="88"/>
      <c r="AS34" s="88"/>
      <c r="AU34" s="88"/>
      <c r="AV34" s="88"/>
      <c r="AW34" s="88"/>
      <c r="AX34" s="88"/>
      <c r="AZ34" s="88"/>
      <c r="BA34" s="88"/>
      <c r="BB34" s="88"/>
      <c r="BC34" s="88"/>
      <c r="BE34" s="88"/>
      <c r="BF34" s="88"/>
      <c r="BG34" s="88"/>
      <c r="BH34" s="88"/>
      <c r="BJ34" s="88"/>
      <c r="BK34" s="88"/>
      <c r="BL34" s="88"/>
      <c r="BM34" s="88"/>
      <c r="BR34" s="88"/>
      <c r="BS34" s="88"/>
      <c r="BT34" s="88"/>
      <c r="BU34" s="88"/>
      <c r="BV34" s="88"/>
      <c r="BW34" s="88"/>
      <c r="BX34" s="88"/>
    </row>
    <row r="35" spans="7:76" ht="15" customHeight="1" x14ac:dyDescent="0.3">
      <c r="G35" s="88"/>
      <c r="H35" s="88"/>
      <c r="I35" s="88"/>
      <c r="J35" s="88"/>
      <c r="L35" s="88"/>
      <c r="M35" s="88"/>
      <c r="N35" s="88"/>
      <c r="O35" s="88"/>
      <c r="Q35" s="88"/>
      <c r="R35" s="88"/>
      <c r="S35" s="88"/>
      <c r="T35" s="88"/>
      <c r="V35" s="88"/>
      <c r="W35" s="88"/>
      <c r="X35" s="88"/>
      <c r="Y35" s="88"/>
      <c r="AA35" s="88"/>
      <c r="AB35" s="88"/>
      <c r="AC35" s="88"/>
      <c r="AD35" s="88"/>
      <c r="AF35" s="88"/>
      <c r="AG35" s="88"/>
      <c r="AH35" s="88"/>
      <c r="AI35" s="88"/>
      <c r="AK35" s="88"/>
      <c r="AL35" s="88"/>
      <c r="AM35" s="88"/>
      <c r="AN35" s="88"/>
      <c r="AP35" s="88"/>
      <c r="AQ35" s="88"/>
      <c r="AR35" s="88"/>
      <c r="AS35" s="88"/>
      <c r="AU35" s="88"/>
      <c r="AV35" s="88"/>
      <c r="AW35" s="88"/>
      <c r="AX35" s="88"/>
      <c r="AZ35" s="88"/>
      <c r="BA35" s="88"/>
      <c r="BB35" s="88"/>
      <c r="BC35" s="88"/>
      <c r="BE35" s="88"/>
      <c r="BF35" s="88"/>
      <c r="BG35" s="88"/>
      <c r="BH35" s="88"/>
      <c r="BJ35" s="88"/>
      <c r="BK35" s="88"/>
      <c r="BL35" s="88"/>
      <c r="BM35" s="88"/>
      <c r="BR35" s="88"/>
      <c r="BS35" s="88"/>
      <c r="BT35" s="88"/>
      <c r="BU35" s="88"/>
      <c r="BV35" s="88"/>
      <c r="BW35" s="88"/>
      <c r="BX35" s="88"/>
    </row>
    <row r="36" spans="7:76" ht="15" customHeight="1" x14ac:dyDescent="0.3">
      <c r="G36" s="91" t="s">
        <v>118</v>
      </c>
      <c r="H36" s="91">
        <f>SUM(H5:H35)</f>
        <v>0</v>
      </c>
      <c r="I36" s="91">
        <f>SUM(I5:I35)</f>
        <v>0</v>
      </c>
      <c r="J36" s="91">
        <f>SUM(J5:J35)</f>
        <v>0</v>
      </c>
      <c r="L36" s="91" t="s">
        <v>118</v>
      </c>
      <c r="M36" s="91">
        <f>SUM(M5:M35)</f>
        <v>0</v>
      </c>
      <c r="N36" s="91">
        <f>SUM(N5:N35)</f>
        <v>0</v>
      </c>
      <c r="O36" s="91">
        <f>SUM(O5:O35)</f>
        <v>0</v>
      </c>
      <c r="Q36" s="91" t="s">
        <v>118</v>
      </c>
      <c r="R36" s="91">
        <f>SUM(R5:R35)</f>
        <v>0</v>
      </c>
      <c r="S36" s="91">
        <f>SUM(S5:S35)</f>
        <v>0</v>
      </c>
      <c r="T36" s="91">
        <f>SUM(T5:T35)</f>
        <v>0</v>
      </c>
      <c r="V36" s="91" t="s">
        <v>118</v>
      </c>
      <c r="W36" s="91">
        <f>SUM(W5:W35)</f>
        <v>0</v>
      </c>
      <c r="X36" s="91">
        <f>SUM(X5:X35)</f>
        <v>0</v>
      </c>
      <c r="Y36" s="91">
        <f>SUM(Y5:Y35)</f>
        <v>0</v>
      </c>
      <c r="AA36" s="91" t="s">
        <v>118</v>
      </c>
      <c r="AB36" s="91">
        <f>SUM(AB5:AB35)</f>
        <v>0</v>
      </c>
      <c r="AC36" s="91">
        <f>SUM(AC5:AC35)</f>
        <v>0</v>
      </c>
      <c r="AD36" s="91">
        <f>SUM(AD5:AD35)</f>
        <v>0</v>
      </c>
      <c r="AF36" s="91" t="s">
        <v>118</v>
      </c>
      <c r="AG36" s="91">
        <f>SUM(AG5:AG35)</f>
        <v>0</v>
      </c>
      <c r="AH36" s="91">
        <f>SUM(AH5:AH35)</f>
        <v>0</v>
      </c>
      <c r="AI36" s="91">
        <f>SUM(AI5:AI35)</f>
        <v>0</v>
      </c>
      <c r="AK36" s="91" t="s">
        <v>118</v>
      </c>
      <c r="AL36" s="91">
        <f>SUM(AL5:AL35)</f>
        <v>0</v>
      </c>
      <c r="AM36" s="91">
        <f>SUM(AM5:AM35)</f>
        <v>0</v>
      </c>
      <c r="AN36" s="91">
        <f>SUM(AN5:AN35)</f>
        <v>0</v>
      </c>
      <c r="AP36" s="91" t="s">
        <v>118</v>
      </c>
      <c r="AQ36" s="91">
        <f>SUM(AQ5:AQ35)</f>
        <v>0</v>
      </c>
      <c r="AR36" s="91">
        <f>SUM(AR5:AR35)</f>
        <v>0</v>
      </c>
      <c r="AS36" s="91">
        <f>SUM(AS5:AS35)</f>
        <v>0</v>
      </c>
      <c r="AU36" s="91" t="s">
        <v>118</v>
      </c>
      <c r="AV36" s="91">
        <f>SUM(AV5:AV35)</f>
        <v>0</v>
      </c>
      <c r="AW36" s="91">
        <f>SUM(AW5:AW35)</f>
        <v>0</v>
      </c>
      <c r="AX36" s="91">
        <f>SUM(AX5:AX35)</f>
        <v>0</v>
      </c>
      <c r="AZ36" s="91" t="s">
        <v>118</v>
      </c>
      <c r="BA36" s="91">
        <f>SUM(BA5:BA35)</f>
        <v>0</v>
      </c>
      <c r="BB36" s="91">
        <f>SUM(BB5:BB35)</f>
        <v>0</v>
      </c>
      <c r="BC36" s="91">
        <f>SUM(BC5:BC35)</f>
        <v>0</v>
      </c>
      <c r="BE36" s="91" t="s">
        <v>118</v>
      </c>
      <c r="BF36" s="91">
        <f>SUM(BF5:BF35)</f>
        <v>0</v>
      </c>
      <c r="BG36" s="91">
        <f>SUM(BG5:BG35)</f>
        <v>0</v>
      </c>
      <c r="BH36" s="91">
        <f>SUM(BH5:BH35)</f>
        <v>0</v>
      </c>
      <c r="BJ36" s="91" t="s">
        <v>118</v>
      </c>
      <c r="BK36" s="91">
        <f>SUM(BK5:BK35)</f>
        <v>0</v>
      </c>
      <c r="BL36" s="91">
        <f>SUM(BL5:BL35)</f>
        <v>0</v>
      </c>
      <c r="BM36" s="91">
        <f>SUM(BM5:BM35)</f>
        <v>0</v>
      </c>
      <c r="BR36" s="88"/>
      <c r="BS36" s="88"/>
      <c r="BT36" s="88"/>
      <c r="BU36" s="88"/>
      <c r="BV36" s="88"/>
      <c r="BW36" s="88"/>
      <c r="BX36" s="88"/>
    </row>
    <row r="37" spans="7:76" ht="15" customHeight="1" x14ac:dyDescent="0.3">
      <c r="BR37" s="88"/>
      <c r="BS37" s="88"/>
      <c r="BT37" s="88"/>
      <c r="BU37" s="88"/>
      <c r="BV37" s="88"/>
      <c r="BW37" s="88"/>
      <c r="BX37" s="88"/>
    </row>
    <row r="38" spans="7:76" ht="15" customHeight="1" x14ac:dyDescent="0.3">
      <c r="BR38" s="88"/>
      <c r="BS38" s="88"/>
      <c r="BT38" s="88"/>
      <c r="BU38" s="88"/>
      <c r="BV38" s="88"/>
      <c r="BW38" s="88"/>
      <c r="BX38" s="88"/>
    </row>
    <row r="39" spans="7:76" x14ac:dyDescent="0.3">
      <c r="BR39" s="226" t="s">
        <v>118</v>
      </c>
      <c r="BS39" s="226"/>
      <c r="BT39" s="92">
        <f>SUM(BT5:BT36)</f>
        <v>0</v>
      </c>
      <c r="BU39" s="92">
        <f>SUM(BU5:BU36)</f>
        <v>0</v>
      </c>
      <c r="BV39" s="92">
        <f>SUM(BV5:BV36)</f>
        <v>0</v>
      </c>
      <c r="BW39" s="217"/>
      <c r="BX39" s="217"/>
    </row>
    <row r="44" spans="7:76" x14ac:dyDescent="0.3">
      <c r="G44" s="68"/>
    </row>
  </sheetData>
  <mergeCells count="57">
    <mergeCell ref="B19:C20"/>
    <mergeCell ref="D19:E20"/>
    <mergeCell ref="BR39:BS39"/>
    <mergeCell ref="BW39:BX39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B5:C5"/>
    <mergeCell ref="D5:E5"/>
    <mergeCell ref="BE3:BH3"/>
    <mergeCell ref="BJ3:BM3"/>
    <mergeCell ref="BR3:BR4"/>
    <mergeCell ref="AA3:AD3"/>
    <mergeCell ref="AF3:AI3"/>
    <mergeCell ref="AK3:AN3"/>
    <mergeCell ref="AP3:AS3"/>
    <mergeCell ref="AU3:AX3"/>
    <mergeCell ref="AZ3:BC3"/>
    <mergeCell ref="B4:C4"/>
    <mergeCell ref="D4:E4"/>
    <mergeCell ref="B2:C2"/>
    <mergeCell ref="D2:E2"/>
    <mergeCell ref="G2:BM2"/>
    <mergeCell ref="BR2:BX2"/>
    <mergeCell ref="B3:C3"/>
    <mergeCell ref="D3:E3"/>
    <mergeCell ref="G3:J3"/>
    <mergeCell ref="L3:O3"/>
    <mergeCell ref="Q3:T3"/>
    <mergeCell ref="V3:Y3"/>
    <mergeCell ref="BV3:BV4"/>
    <mergeCell ref="BW3:BW4"/>
    <mergeCell ref="BX3:BX4"/>
    <mergeCell ref="BS3:BS4"/>
    <mergeCell ref="BT3:BT4"/>
    <mergeCell ref="BU3:BU4"/>
  </mergeCells>
  <conditionalFormatting sqref="D19:E2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{3BED5A2A-8D2D-43E8-9758-E635BE973490}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D5A2A-8D2D-43E8-9758-E635BE97349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D19:E20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S78"/>
  <sheetViews>
    <sheetView zoomScale="50" zoomScaleNormal="50" workbookViewId="0">
      <selection activeCell="W27" sqref="W27"/>
    </sheetView>
  </sheetViews>
  <sheetFormatPr defaultRowHeight="14.4" customHeight="1" zeroHeight="1" x14ac:dyDescent="0.3"/>
  <cols>
    <col min="1" max="1" width="3.5546875" style="7" customWidth="1"/>
    <col min="2" max="2" width="25.5546875" style="6" customWidth="1"/>
    <col min="3" max="3" width="22.5546875" style="6" bestFit="1" customWidth="1"/>
    <col min="4" max="4" width="21.5546875" style="6" bestFit="1" customWidth="1"/>
    <col min="5" max="11" width="16.33203125" style="7" customWidth="1"/>
    <col min="12" max="12" width="18.5546875" style="7" customWidth="1"/>
    <col min="13" max="13" width="16.33203125" style="7" customWidth="1"/>
    <col min="14" max="14" width="16.44140625" style="7" customWidth="1"/>
    <col min="15" max="15" width="16.33203125" style="7" customWidth="1"/>
    <col min="16" max="16" width="4.6640625" style="7" customWidth="1"/>
    <col min="17" max="17" width="13.88671875" style="7" customWidth="1"/>
    <col min="18" max="18" width="13.109375" style="7" customWidth="1"/>
    <col min="19" max="19" width="11" style="7" customWidth="1"/>
    <col min="20" max="256" width="8.88671875" style="7"/>
    <col min="257" max="257" width="3.5546875" style="7" customWidth="1"/>
    <col min="258" max="258" width="25.5546875" style="7" customWidth="1"/>
    <col min="259" max="259" width="22.5546875" style="7" bestFit="1" customWidth="1"/>
    <col min="260" max="260" width="21.5546875" style="7" bestFit="1" customWidth="1"/>
    <col min="261" max="269" width="16.33203125" style="7" customWidth="1"/>
    <col min="270" max="270" width="16.44140625" style="7" customWidth="1"/>
    <col min="271" max="271" width="16.33203125" style="7" customWidth="1"/>
    <col min="272" max="272" width="4.6640625" style="7" customWidth="1"/>
    <col min="273" max="273" width="13.88671875" style="7" customWidth="1"/>
    <col min="274" max="274" width="13.109375" style="7" customWidth="1"/>
    <col min="275" max="275" width="11" style="7" customWidth="1"/>
    <col min="276" max="512" width="8.88671875" style="7"/>
    <col min="513" max="513" width="3.5546875" style="7" customWidth="1"/>
    <col min="514" max="514" width="25.5546875" style="7" customWidth="1"/>
    <col min="515" max="515" width="22.5546875" style="7" bestFit="1" customWidth="1"/>
    <col min="516" max="516" width="21.5546875" style="7" bestFit="1" customWidth="1"/>
    <col min="517" max="525" width="16.33203125" style="7" customWidth="1"/>
    <col min="526" max="526" width="16.44140625" style="7" customWidth="1"/>
    <col min="527" max="527" width="16.33203125" style="7" customWidth="1"/>
    <col min="528" max="528" width="4.6640625" style="7" customWidth="1"/>
    <col min="529" max="529" width="13.88671875" style="7" customWidth="1"/>
    <col min="530" max="530" width="13.109375" style="7" customWidth="1"/>
    <col min="531" max="531" width="11" style="7" customWidth="1"/>
    <col min="532" max="768" width="8.88671875" style="7"/>
    <col min="769" max="769" width="3.5546875" style="7" customWidth="1"/>
    <col min="770" max="770" width="25.5546875" style="7" customWidth="1"/>
    <col min="771" max="771" width="22.5546875" style="7" bestFit="1" customWidth="1"/>
    <col min="772" max="772" width="21.5546875" style="7" bestFit="1" customWidth="1"/>
    <col min="773" max="781" width="16.33203125" style="7" customWidth="1"/>
    <col min="782" max="782" width="16.44140625" style="7" customWidth="1"/>
    <col min="783" max="783" width="16.33203125" style="7" customWidth="1"/>
    <col min="784" max="784" width="4.6640625" style="7" customWidth="1"/>
    <col min="785" max="785" width="13.88671875" style="7" customWidth="1"/>
    <col min="786" max="786" width="13.109375" style="7" customWidth="1"/>
    <col min="787" max="787" width="11" style="7" customWidth="1"/>
    <col min="788" max="1024" width="8.88671875" style="7"/>
    <col min="1025" max="1025" width="3.5546875" style="7" customWidth="1"/>
    <col min="1026" max="1026" width="25.5546875" style="7" customWidth="1"/>
    <col min="1027" max="1027" width="22.5546875" style="7" bestFit="1" customWidth="1"/>
    <col min="1028" max="1028" width="21.5546875" style="7" bestFit="1" customWidth="1"/>
    <col min="1029" max="1037" width="16.33203125" style="7" customWidth="1"/>
    <col min="1038" max="1038" width="16.44140625" style="7" customWidth="1"/>
    <col min="1039" max="1039" width="16.33203125" style="7" customWidth="1"/>
    <col min="1040" max="1040" width="4.6640625" style="7" customWidth="1"/>
    <col min="1041" max="1041" width="13.88671875" style="7" customWidth="1"/>
    <col min="1042" max="1042" width="13.109375" style="7" customWidth="1"/>
    <col min="1043" max="1043" width="11" style="7" customWidth="1"/>
    <col min="1044" max="1280" width="8.88671875" style="7"/>
    <col min="1281" max="1281" width="3.5546875" style="7" customWidth="1"/>
    <col min="1282" max="1282" width="25.5546875" style="7" customWidth="1"/>
    <col min="1283" max="1283" width="22.5546875" style="7" bestFit="1" customWidth="1"/>
    <col min="1284" max="1284" width="21.5546875" style="7" bestFit="1" customWidth="1"/>
    <col min="1285" max="1293" width="16.33203125" style="7" customWidth="1"/>
    <col min="1294" max="1294" width="16.44140625" style="7" customWidth="1"/>
    <col min="1295" max="1295" width="16.33203125" style="7" customWidth="1"/>
    <col min="1296" max="1296" width="4.6640625" style="7" customWidth="1"/>
    <col min="1297" max="1297" width="13.88671875" style="7" customWidth="1"/>
    <col min="1298" max="1298" width="13.109375" style="7" customWidth="1"/>
    <col min="1299" max="1299" width="11" style="7" customWidth="1"/>
    <col min="1300" max="1536" width="8.88671875" style="7"/>
    <col min="1537" max="1537" width="3.5546875" style="7" customWidth="1"/>
    <col min="1538" max="1538" width="25.5546875" style="7" customWidth="1"/>
    <col min="1539" max="1539" width="22.5546875" style="7" bestFit="1" customWidth="1"/>
    <col min="1540" max="1540" width="21.5546875" style="7" bestFit="1" customWidth="1"/>
    <col min="1541" max="1549" width="16.33203125" style="7" customWidth="1"/>
    <col min="1550" max="1550" width="16.44140625" style="7" customWidth="1"/>
    <col min="1551" max="1551" width="16.33203125" style="7" customWidth="1"/>
    <col min="1552" max="1552" width="4.6640625" style="7" customWidth="1"/>
    <col min="1553" max="1553" width="13.88671875" style="7" customWidth="1"/>
    <col min="1554" max="1554" width="13.109375" style="7" customWidth="1"/>
    <col min="1555" max="1555" width="11" style="7" customWidth="1"/>
    <col min="1556" max="1792" width="8.88671875" style="7"/>
    <col min="1793" max="1793" width="3.5546875" style="7" customWidth="1"/>
    <col min="1794" max="1794" width="25.5546875" style="7" customWidth="1"/>
    <col min="1795" max="1795" width="22.5546875" style="7" bestFit="1" customWidth="1"/>
    <col min="1796" max="1796" width="21.5546875" style="7" bestFit="1" customWidth="1"/>
    <col min="1797" max="1805" width="16.33203125" style="7" customWidth="1"/>
    <col min="1806" max="1806" width="16.44140625" style="7" customWidth="1"/>
    <col min="1807" max="1807" width="16.33203125" style="7" customWidth="1"/>
    <col min="1808" max="1808" width="4.6640625" style="7" customWidth="1"/>
    <col min="1809" max="1809" width="13.88671875" style="7" customWidth="1"/>
    <col min="1810" max="1810" width="13.109375" style="7" customWidth="1"/>
    <col min="1811" max="1811" width="11" style="7" customWidth="1"/>
    <col min="1812" max="2048" width="8.88671875" style="7"/>
    <col min="2049" max="2049" width="3.5546875" style="7" customWidth="1"/>
    <col min="2050" max="2050" width="25.5546875" style="7" customWidth="1"/>
    <col min="2051" max="2051" width="22.5546875" style="7" bestFit="1" customWidth="1"/>
    <col min="2052" max="2052" width="21.5546875" style="7" bestFit="1" customWidth="1"/>
    <col min="2053" max="2061" width="16.33203125" style="7" customWidth="1"/>
    <col min="2062" max="2062" width="16.44140625" style="7" customWidth="1"/>
    <col min="2063" max="2063" width="16.33203125" style="7" customWidth="1"/>
    <col min="2064" max="2064" width="4.6640625" style="7" customWidth="1"/>
    <col min="2065" max="2065" width="13.88671875" style="7" customWidth="1"/>
    <col min="2066" max="2066" width="13.109375" style="7" customWidth="1"/>
    <col min="2067" max="2067" width="11" style="7" customWidth="1"/>
    <col min="2068" max="2304" width="8.88671875" style="7"/>
    <col min="2305" max="2305" width="3.5546875" style="7" customWidth="1"/>
    <col min="2306" max="2306" width="25.5546875" style="7" customWidth="1"/>
    <col min="2307" max="2307" width="22.5546875" style="7" bestFit="1" customWidth="1"/>
    <col min="2308" max="2308" width="21.5546875" style="7" bestFit="1" customWidth="1"/>
    <col min="2309" max="2317" width="16.33203125" style="7" customWidth="1"/>
    <col min="2318" max="2318" width="16.44140625" style="7" customWidth="1"/>
    <col min="2319" max="2319" width="16.33203125" style="7" customWidth="1"/>
    <col min="2320" max="2320" width="4.6640625" style="7" customWidth="1"/>
    <col min="2321" max="2321" width="13.88671875" style="7" customWidth="1"/>
    <col min="2322" max="2322" width="13.109375" style="7" customWidth="1"/>
    <col min="2323" max="2323" width="11" style="7" customWidth="1"/>
    <col min="2324" max="2560" width="8.88671875" style="7"/>
    <col min="2561" max="2561" width="3.5546875" style="7" customWidth="1"/>
    <col min="2562" max="2562" width="25.5546875" style="7" customWidth="1"/>
    <col min="2563" max="2563" width="22.5546875" style="7" bestFit="1" customWidth="1"/>
    <col min="2564" max="2564" width="21.5546875" style="7" bestFit="1" customWidth="1"/>
    <col min="2565" max="2573" width="16.33203125" style="7" customWidth="1"/>
    <col min="2574" max="2574" width="16.44140625" style="7" customWidth="1"/>
    <col min="2575" max="2575" width="16.33203125" style="7" customWidth="1"/>
    <col min="2576" max="2576" width="4.6640625" style="7" customWidth="1"/>
    <col min="2577" max="2577" width="13.88671875" style="7" customWidth="1"/>
    <col min="2578" max="2578" width="13.109375" style="7" customWidth="1"/>
    <col min="2579" max="2579" width="11" style="7" customWidth="1"/>
    <col min="2580" max="2816" width="8.88671875" style="7"/>
    <col min="2817" max="2817" width="3.5546875" style="7" customWidth="1"/>
    <col min="2818" max="2818" width="25.5546875" style="7" customWidth="1"/>
    <col min="2819" max="2819" width="22.5546875" style="7" bestFit="1" customWidth="1"/>
    <col min="2820" max="2820" width="21.5546875" style="7" bestFit="1" customWidth="1"/>
    <col min="2821" max="2829" width="16.33203125" style="7" customWidth="1"/>
    <col min="2830" max="2830" width="16.44140625" style="7" customWidth="1"/>
    <col min="2831" max="2831" width="16.33203125" style="7" customWidth="1"/>
    <col min="2832" max="2832" width="4.6640625" style="7" customWidth="1"/>
    <col min="2833" max="2833" width="13.88671875" style="7" customWidth="1"/>
    <col min="2834" max="2834" width="13.109375" style="7" customWidth="1"/>
    <col min="2835" max="2835" width="11" style="7" customWidth="1"/>
    <col min="2836" max="3072" width="8.88671875" style="7"/>
    <col min="3073" max="3073" width="3.5546875" style="7" customWidth="1"/>
    <col min="3074" max="3074" width="25.5546875" style="7" customWidth="1"/>
    <col min="3075" max="3075" width="22.5546875" style="7" bestFit="1" customWidth="1"/>
    <col min="3076" max="3076" width="21.5546875" style="7" bestFit="1" customWidth="1"/>
    <col min="3077" max="3085" width="16.33203125" style="7" customWidth="1"/>
    <col min="3086" max="3086" width="16.44140625" style="7" customWidth="1"/>
    <col min="3087" max="3087" width="16.33203125" style="7" customWidth="1"/>
    <col min="3088" max="3088" width="4.6640625" style="7" customWidth="1"/>
    <col min="3089" max="3089" width="13.88671875" style="7" customWidth="1"/>
    <col min="3090" max="3090" width="13.109375" style="7" customWidth="1"/>
    <col min="3091" max="3091" width="11" style="7" customWidth="1"/>
    <col min="3092" max="3328" width="8.88671875" style="7"/>
    <col min="3329" max="3329" width="3.5546875" style="7" customWidth="1"/>
    <col min="3330" max="3330" width="25.5546875" style="7" customWidth="1"/>
    <col min="3331" max="3331" width="22.5546875" style="7" bestFit="1" customWidth="1"/>
    <col min="3332" max="3332" width="21.5546875" style="7" bestFit="1" customWidth="1"/>
    <col min="3333" max="3341" width="16.33203125" style="7" customWidth="1"/>
    <col min="3342" max="3342" width="16.44140625" style="7" customWidth="1"/>
    <col min="3343" max="3343" width="16.33203125" style="7" customWidth="1"/>
    <col min="3344" max="3344" width="4.6640625" style="7" customWidth="1"/>
    <col min="3345" max="3345" width="13.88671875" style="7" customWidth="1"/>
    <col min="3346" max="3346" width="13.109375" style="7" customWidth="1"/>
    <col min="3347" max="3347" width="11" style="7" customWidth="1"/>
    <col min="3348" max="3584" width="8.88671875" style="7"/>
    <col min="3585" max="3585" width="3.5546875" style="7" customWidth="1"/>
    <col min="3586" max="3586" width="25.5546875" style="7" customWidth="1"/>
    <col min="3587" max="3587" width="22.5546875" style="7" bestFit="1" customWidth="1"/>
    <col min="3588" max="3588" width="21.5546875" style="7" bestFit="1" customWidth="1"/>
    <col min="3589" max="3597" width="16.33203125" style="7" customWidth="1"/>
    <col min="3598" max="3598" width="16.44140625" style="7" customWidth="1"/>
    <col min="3599" max="3599" width="16.33203125" style="7" customWidth="1"/>
    <col min="3600" max="3600" width="4.6640625" style="7" customWidth="1"/>
    <col min="3601" max="3601" width="13.88671875" style="7" customWidth="1"/>
    <col min="3602" max="3602" width="13.109375" style="7" customWidth="1"/>
    <col min="3603" max="3603" width="11" style="7" customWidth="1"/>
    <col min="3604" max="3840" width="8.88671875" style="7"/>
    <col min="3841" max="3841" width="3.5546875" style="7" customWidth="1"/>
    <col min="3842" max="3842" width="25.5546875" style="7" customWidth="1"/>
    <col min="3843" max="3843" width="22.5546875" style="7" bestFit="1" customWidth="1"/>
    <col min="3844" max="3844" width="21.5546875" style="7" bestFit="1" customWidth="1"/>
    <col min="3845" max="3853" width="16.33203125" style="7" customWidth="1"/>
    <col min="3854" max="3854" width="16.44140625" style="7" customWidth="1"/>
    <col min="3855" max="3855" width="16.33203125" style="7" customWidth="1"/>
    <col min="3856" max="3856" width="4.6640625" style="7" customWidth="1"/>
    <col min="3857" max="3857" width="13.88671875" style="7" customWidth="1"/>
    <col min="3858" max="3858" width="13.109375" style="7" customWidth="1"/>
    <col min="3859" max="3859" width="11" style="7" customWidth="1"/>
    <col min="3860" max="4096" width="8.88671875" style="7"/>
    <col min="4097" max="4097" width="3.5546875" style="7" customWidth="1"/>
    <col min="4098" max="4098" width="25.5546875" style="7" customWidth="1"/>
    <col min="4099" max="4099" width="22.5546875" style="7" bestFit="1" customWidth="1"/>
    <col min="4100" max="4100" width="21.5546875" style="7" bestFit="1" customWidth="1"/>
    <col min="4101" max="4109" width="16.33203125" style="7" customWidth="1"/>
    <col min="4110" max="4110" width="16.44140625" style="7" customWidth="1"/>
    <col min="4111" max="4111" width="16.33203125" style="7" customWidth="1"/>
    <col min="4112" max="4112" width="4.6640625" style="7" customWidth="1"/>
    <col min="4113" max="4113" width="13.88671875" style="7" customWidth="1"/>
    <col min="4114" max="4114" width="13.109375" style="7" customWidth="1"/>
    <col min="4115" max="4115" width="11" style="7" customWidth="1"/>
    <col min="4116" max="4352" width="8.88671875" style="7"/>
    <col min="4353" max="4353" width="3.5546875" style="7" customWidth="1"/>
    <col min="4354" max="4354" width="25.5546875" style="7" customWidth="1"/>
    <col min="4355" max="4355" width="22.5546875" style="7" bestFit="1" customWidth="1"/>
    <col min="4356" max="4356" width="21.5546875" style="7" bestFit="1" customWidth="1"/>
    <col min="4357" max="4365" width="16.33203125" style="7" customWidth="1"/>
    <col min="4366" max="4366" width="16.44140625" style="7" customWidth="1"/>
    <col min="4367" max="4367" width="16.33203125" style="7" customWidth="1"/>
    <col min="4368" max="4368" width="4.6640625" style="7" customWidth="1"/>
    <col min="4369" max="4369" width="13.88671875" style="7" customWidth="1"/>
    <col min="4370" max="4370" width="13.109375" style="7" customWidth="1"/>
    <col min="4371" max="4371" width="11" style="7" customWidth="1"/>
    <col min="4372" max="4608" width="8.88671875" style="7"/>
    <col min="4609" max="4609" width="3.5546875" style="7" customWidth="1"/>
    <col min="4610" max="4610" width="25.5546875" style="7" customWidth="1"/>
    <col min="4611" max="4611" width="22.5546875" style="7" bestFit="1" customWidth="1"/>
    <col min="4612" max="4612" width="21.5546875" style="7" bestFit="1" customWidth="1"/>
    <col min="4613" max="4621" width="16.33203125" style="7" customWidth="1"/>
    <col min="4622" max="4622" width="16.44140625" style="7" customWidth="1"/>
    <col min="4623" max="4623" width="16.33203125" style="7" customWidth="1"/>
    <col min="4624" max="4624" width="4.6640625" style="7" customWidth="1"/>
    <col min="4625" max="4625" width="13.88671875" style="7" customWidth="1"/>
    <col min="4626" max="4626" width="13.109375" style="7" customWidth="1"/>
    <col min="4627" max="4627" width="11" style="7" customWidth="1"/>
    <col min="4628" max="4864" width="8.88671875" style="7"/>
    <col min="4865" max="4865" width="3.5546875" style="7" customWidth="1"/>
    <col min="4866" max="4866" width="25.5546875" style="7" customWidth="1"/>
    <col min="4867" max="4867" width="22.5546875" style="7" bestFit="1" customWidth="1"/>
    <col min="4868" max="4868" width="21.5546875" style="7" bestFit="1" customWidth="1"/>
    <col min="4869" max="4877" width="16.33203125" style="7" customWidth="1"/>
    <col min="4878" max="4878" width="16.44140625" style="7" customWidth="1"/>
    <col min="4879" max="4879" width="16.33203125" style="7" customWidth="1"/>
    <col min="4880" max="4880" width="4.6640625" style="7" customWidth="1"/>
    <col min="4881" max="4881" width="13.88671875" style="7" customWidth="1"/>
    <col min="4882" max="4882" width="13.109375" style="7" customWidth="1"/>
    <col min="4883" max="4883" width="11" style="7" customWidth="1"/>
    <col min="4884" max="5120" width="8.88671875" style="7"/>
    <col min="5121" max="5121" width="3.5546875" style="7" customWidth="1"/>
    <col min="5122" max="5122" width="25.5546875" style="7" customWidth="1"/>
    <col min="5123" max="5123" width="22.5546875" style="7" bestFit="1" customWidth="1"/>
    <col min="5124" max="5124" width="21.5546875" style="7" bestFit="1" customWidth="1"/>
    <col min="5125" max="5133" width="16.33203125" style="7" customWidth="1"/>
    <col min="5134" max="5134" width="16.44140625" style="7" customWidth="1"/>
    <col min="5135" max="5135" width="16.33203125" style="7" customWidth="1"/>
    <col min="5136" max="5136" width="4.6640625" style="7" customWidth="1"/>
    <col min="5137" max="5137" width="13.88671875" style="7" customWidth="1"/>
    <col min="5138" max="5138" width="13.109375" style="7" customWidth="1"/>
    <col min="5139" max="5139" width="11" style="7" customWidth="1"/>
    <col min="5140" max="5376" width="8.88671875" style="7"/>
    <col min="5377" max="5377" width="3.5546875" style="7" customWidth="1"/>
    <col min="5378" max="5378" width="25.5546875" style="7" customWidth="1"/>
    <col min="5379" max="5379" width="22.5546875" style="7" bestFit="1" customWidth="1"/>
    <col min="5380" max="5380" width="21.5546875" style="7" bestFit="1" customWidth="1"/>
    <col min="5381" max="5389" width="16.33203125" style="7" customWidth="1"/>
    <col min="5390" max="5390" width="16.44140625" style="7" customWidth="1"/>
    <col min="5391" max="5391" width="16.33203125" style="7" customWidth="1"/>
    <col min="5392" max="5392" width="4.6640625" style="7" customWidth="1"/>
    <col min="5393" max="5393" width="13.88671875" style="7" customWidth="1"/>
    <col min="5394" max="5394" width="13.109375" style="7" customWidth="1"/>
    <col min="5395" max="5395" width="11" style="7" customWidth="1"/>
    <col min="5396" max="5632" width="8.88671875" style="7"/>
    <col min="5633" max="5633" width="3.5546875" style="7" customWidth="1"/>
    <col min="5634" max="5634" width="25.5546875" style="7" customWidth="1"/>
    <col min="5635" max="5635" width="22.5546875" style="7" bestFit="1" customWidth="1"/>
    <col min="5636" max="5636" width="21.5546875" style="7" bestFit="1" customWidth="1"/>
    <col min="5637" max="5645" width="16.33203125" style="7" customWidth="1"/>
    <col min="5646" max="5646" width="16.44140625" style="7" customWidth="1"/>
    <col min="5647" max="5647" width="16.33203125" style="7" customWidth="1"/>
    <col min="5648" max="5648" width="4.6640625" style="7" customWidth="1"/>
    <col min="5649" max="5649" width="13.88671875" style="7" customWidth="1"/>
    <col min="5650" max="5650" width="13.109375" style="7" customWidth="1"/>
    <col min="5651" max="5651" width="11" style="7" customWidth="1"/>
    <col min="5652" max="5888" width="8.88671875" style="7"/>
    <col min="5889" max="5889" width="3.5546875" style="7" customWidth="1"/>
    <col min="5890" max="5890" width="25.5546875" style="7" customWidth="1"/>
    <col min="5891" max="5891" width="22.5546875" style="7" bestFit="1" customWidth="1"/>
    <col min="5892" max="5892" width="21.5546875" style="7" bestFit="1" customWidth="1"/>
    <col min="5893" max="5901" width="16.33203125" style="7" customWidth="1"/>
    <col min="5902" max="5902" width="16.44140625" style="7" customWidth="1"/>
    <col min="5903" max="5903" width="16.33203125" style="7" customWidth="1"/>
    <col min="5904" max="5904" width="4.6640625" style="7" customWidth="1"/>
    <col min="5905" max="5905" width="13.88671875" style="7" customWidth="1"/>
    <col min="5906" max="5906" width="13.109375" style="7" customWidth="1"/>
    <col min="5907" max="5907" width="11" style="7" customWidth="1"/>
    <col min="5908" max="6144" width="8.88671875" style="7"/>
    <col min="6145" max="6145" width="3.5546875" style="7" customWidth="1"/>
    <col min="6146" max="6146" width="25.5546875" style="7" customWidth="1"/>
    <col min="6147" max="6147" width="22.5546875" style="7" bestFit="1" customWidth="1"/>
    <col min="6148" max="6148" width="21.5546875" style="7" bestFit="1" customWidth="1"/>
    <col min="6149" max="6157" width="16.33203125" style="7" customWidth="1"/>
    <col min="6158" max="6158" width="16.44140625" style="7" customWidth="1"/>
    <col min="6159" max="6159" width="16.33203125" style="7" customWidth="1"/>
    <col min="6160" max="6160" width="4.6640625" style="7" customWidth="1"/>
    <col min="6161" max="6161" width="13.88671875" style="7" customWidth="1"/>
    <col min="6162" max="6162" width="13.109375" style="7" customWidth="1"/>
    <col min="6163" max="6163" width="11" style="7" customWidth="1"/>
    <col min="6164" max="6400" width="8.88671875" style="7"/>
    <col min="6401" max="6401" width="3.5546875" style="7" customWidth="1"/>
    <col min="6402" max="6402" width="25.5546875" style="7" customWidth="1"/>
    <col min="6403" max="6403" width="22.5546875" style="7" bestFit="1" customWidth="1"/>
    <col min="6404" max="6404" width="21.5546875" style="7" bestFit="1" customWidth="1"/>
    <col min="6405" max="6413" width="16.33203125" style="7" customWidth="1"/>
    <col min="6414" max="6414" width="16.44140625" style="7" customWidth="1"/>
    <col min="6415" max="6415" width="16.33203125" style="7" customWidth="1"/>
    <col min="6416" max="6416" width="4.6640625" style="7" customWidth="1"/>
    <col min="6417" max="6417" width="13.88671875" style="7" customWidth="1"/>
    <col min="6418" max="6418" width="13.109375" style="7" customWidth="1"/>
    <col min="6419" max="6419" width="11" style="7" customWidth="1"/>
    <col min="6420" max="6656" width="8.88671875" style="7"/>
    <col min="6657" max="6657" width="3.5546875" style="7" customWidth="1"/>
    <col min="6658" max="6658" width="25.5546875" style="7" customWidth="1"/>
    <col min="6659" max="6659" width="22.5546875" style="7" bestFit="1" customWidth="1"/>
    <col min="6660" max="6660" width="21.5546875" style="7" bestFit="1" customWidth="1"/>
    <col min="6661" max="6669" width="16.33203125" style="7" customWidth="1"/>
    <col min="6670" max="6670" width="16.44140625" style="7" customWidth="1"/>
    <col min="6671" max="6671" width="16.33203125" style="7" customWidth="1"/>
    <col min="6672" max="6672" width="4.6640625" style="7" customWidth="1"/>
    <col min="6673" max="6673" width="13.88671875" style="7" customWidth="1"/>
    <col min="6674" max="6674" width="13.109375" style="7" customWidth="1"/>
    <col min="6675" max="6675" width="11" style="7" customWidth="1"/>
    <col min="6676" max="6912" width="8.88671875" style="7"/>
    <col min="6913" max="6913" width="3.5546875" style="7" customWidth="1"/>
    <col min="6914" max="6914" width="25.5546875" style="7" customWidth="1"/>
    <col min="6915" max="6915" width="22.5546875" style="7" bestFit="1" customWidth="1"/>
    <col min="6916" max="6916" width="21.5546875" style="7" bestFit="1" customWidth="1"/>
    <col min="6917" max="6925" width="16.33203125" style="7" customWidth="1"/>
    <col min="6926" max="6926" width="16.44140625" style="7" customWidth="1"/>
    <col min="6927" max="6927" width="16.33203125" style="7" customWidth="1"/>
    <col min="6928" max="6928" width="4.6640625" style="7" customWidth="1"/>
    <col min="6929" max="6929" width="13.88671875" style="7" customWidth="1"/>
    <col min="6930" max="6930" width="13.109375" style="7" customWidth="1"/>
    <col min="6931" max="6931" width="11" style="7" customWidth="1"/>
    <col min="6932" max="7168" width="8.88671875" style="7"/>
    <col min="7169" max="7169" width="3.5546875" style="7" customWidth="1"/>
    <col min="7170" max="7170" width="25.5546875" style="7" customWidth="1"/>
    <col min="7171" max="7171" width="22.5546875" style="7" bestFit="1" customWidth="1"/>
    <col min="7172" max="7172" width="21.5546875" style="7" bestFit="1" customWidth="1"/>
    <col min="7173" max="7181" width="16.33203125" style="7" customWidth="1"/>
    <col min="7182" max="7182" width="16.44140625" style="7" customWidth="1"/>
    <col min="7183" max="7183" width="16.33203125" style="7" customWidth="1"/>
    <col min="7184" max="7184" width="4.6640625" style="7" customWidth="1"/>
    <col min="7185" max="7185" width="13.88671875" style="7" customWidth="1"/>
    <col min="7186" max="7186" width="13.109375" style="7" customWidth="1"/>
    <col min="7187" max="7187" width="11" style="7" customWidth="1"/>
    <col min="7188" max="7424" width="8.88671875" style="7"/>
    <col min="7425" max="7425" width="3.5546875" style="7" customWidth="1"/>
    <col min="7426" max="7426" width="25.5546875" style="7" customWidth="1"/>
    <col min="7427" max="7427" width="22.5546875" style="7" bestFit="1" customWidth="1"/>
    <col min="7428" max="7428" width="21.5546875" style="7" bestFit="1" customWidth="1"/>
    <col min="7429" max="7437" width="16.33203125" style="7" customWidth="1"/>
    <col min="7438" max="7438" width="16.44140625" style="7" customWidth="1"/>
    <col min="7439" max="7439" width="16.33203125" style="7" customWidth="1"/>
    <col min="7440" max="7440" width="4.6640625" style="7" customWidth="1"/>
    <col min="7441" max="7441" width="13.88671875" style="7" customWidth="1"/>
    <col min="7442" max="7442" width="13.109375" style="7" customWidth="1"/>
    <col min="7443" max="7443" width="11" style="7" customWidth="1"/>
    <col min="7444" max="7680" width="8.88671875" style="7"/>
    <col min="7681" max="7681" width="3.5546875" style="7" customWidth="1"/>
    <col min="7682" max="7682" width="25.5546875" style="7" customWidth="1"/>
    <col min="7683" max="7683" width="22.5546875" style="7" bestFit="1" customWidth="1"/>
    <col min="7684" max="7684" width="21.5546875" style="7" bestFit="1" customWidth="1"/>
    <col min="7685" max="7693" width="16.33203125" style="7" customWidth="1"/>
    <col min="7694" max="7694" width="16.44140625" style="7" customWidth="1"/>
    <col min="7695" max="7695" width="16.33203125" style="7" customWidth="1"/>
    <col min="7696" max="7696" width="4.6640625" style="7" customWidth="1"/>
    <col min="7697" max="7697" width="13.88671875" style="7" customWidth="1"/>
    <col min="7698" max="7698" width="13.109375" style="7" customWidth="1"/>
    <col min="7699" max="7699" width="11" style="7" customWidth="1"/>
    <col min="7700" max="7936" width="8.88671875" style="7"/>
    <col min="7937" max="7937" width="3.5546875" style="7" customWidth="1"/>
    <col min="7938" max="7938" width="25.5546875" style="7" customWidth="1"/>
    <col min="7939" max="7939" width="22.5546875" style="7" bestFit="1" customWidth="1"/>
    <col min="7940" max="7940" width="21.5546875" style="7" bestFit="1" customWidth="1"/>
    <col min="7941" max="7949" width="16.33203125" style="7" customWidth="1"/>
    <col min="7950" max="7950" width="16.44140625" style="7" customWidth="1"/>
    <col min="7951" max="7951" width="16.33203125" style="7" customWidth="1"/>
    <col min="7952" max="7952" width="4.6640625" style="7" customWidth="1"/>
    <col min="7953" max="7953" width="13.88671875" style="7" customWidth="1"/>
    <col min="7954" max="7954" width="13.109375" style="7" customWidth="1"/>
    <col min="7955" max="7955" width="11" style="7" customWidth="1"/>
    <col min="7956" max="8192" width="8.88671875" style="7"/>
    <col min="8193" max="8193" width="3.5546875" style="7" customWidth="1"/>
    <col min="8194" max="8194" width="25.5546875" style="7" customWidth="1"/>
    <col min="8195" max="8195" width="22.5546875" style="7" bestFit="1" customWidth="1"/>
    <col min="8196" max="8196" width="21.5546875" style="7" bestFit="1" customWidth="1"/>
    <col min="8197" max="8205" width="16.33203125" style="7" customWidth="1"/>
    <col min="8206" max="8206" width="16.44140625" style="7" customWidth="1"/>
    <col min="8207" max="8207" width="16.33203125" style="7" customWidth="1"/>
    <col min="8208" max="8208" width="4.6640625" style="7" customWidth="1"/>
    <col min="8209" max="8209" width="13.88671875" style="7" customWidth="1"/>
    <col min="8210" max="8210" width="13.109375" style="7" customWidth="1"/>
    <col min="8211" max="8211" width="11" style="7" customWidth="1"/>
    <col min="8212" max="8448" width="8.88671875" style="7"/>
    <col min="8449" max="8449" width="3.5546875" style="7" customWidth="1"/>
    <col min="8450" max="8450" width="25.5546875" style="7" customWidth="1"/>
    <col min="8451" max="8451" width="22.5546875" style="7" bestFit="1" customWidth="1"/>
    <col min="8452" max="8452" width="21.5546875" style="7" bestFit="1" customWidth="1"/>
    <col min="8453" max="8461" width="16.33203125" style="7" customWidth="1"/>
    <col min="8462" max="8462" width="16.44140625" style="7" customWidth="1"/>
    <col min="8463" max="8463" width="16.33203125" style="7" customWidth="1"/>
    <col min="8464" max="8464" width="4.6640625" style="7" customWidth="1"/>
    <col min="8465" max="8465" width="13.88671875" style="7" customWidth="1"/>
    <col min="8466" max="8466" width="13.109375" style="7" customWidth="1"/>
    <col min="8467" max="8467" width="11" style="7" customWidth="1"/>
    <col min="8468" max="8704" width="8.88671875" style="7"/>
    <col min="8705" max="8705" width="3.5546875" style="7" customWidth="1"/>
    <col min="8706" max="8706" width="25.5546875" style="7" customWidth="1"/>
    <col min="8707" max="8707" width="22.5546875" style="7" bestFit="1" customWidth="1"/>
    <col min="8708" max="8708" width="21.5546875" style="7" bestFit="1" customWidth="1"/>
    <col min="8709" max="8717" width="16.33203125" style="7" customWidth="1"/>
    <col min="8718" max="8718" width="16.44140625" style="7" customWidth="1"/>
    <col min="8719" max="8719" width="16.33203125" style="7" customWidth="1"/>
    <col min="8720" max="8720" width="4.6640625" style="7" customWidth="1"/>
    <col min="8721" max="8721" width="13.88671875" style="7" customWidth="1"/>
    <col min="8722" max="8722" width="13.109375" style="7" customWidth="1"/>
    <col min="8723" max="8723" width="11" style="7" customWidth="1"/>
    <col min="8724" max="8960" width="8.88671875" style="7"/>
    <col min="8961" max="8961" width="3.5546875" style="7" customWidth="1"/>
    <col min="8962" max="8962" width="25.5546875" style="7" customWidth="1"/>
    <col min="8963" max="8963" width="22.5546875" style="7" bestFit="1" customWidth="1"/>
    <col min="8964" max="8964" width="21.5546875" style="7" bestFit="1" customWidth="1"/>
    <col min="8965" max="8973" width="16.33203125" style="7" customWidth="1"/>
    <col min="8974" max="8974" width="16.44140625" style="7" customWidth="1"/>
    <col min="8975" max="8975" width="16.33203125" style="7" customWidth="1"/>
    <col min="8976" max="8976" width="4.6640625" style="7" customWidth="1"/>
    <col min="8977" max="8977" width="13.88671875" style="7" customWidth="1"/>
    <col min="8978" max="8978" width="13.109375" style="7" customWidth="1"/>
    <col min="8979" max="8979" width="11" style="7" customWidth="1"/>
    <col min="8980" max="9216" width="8.88671875" style="7"/>
    <col min="9217" max="9217" width="3.5546875" style="7" customWidth="1"/>
    <col min="9218" max="9218" width="25.5546875" style="7" customWidth="1"/>
    <col min="9219" max="9219" width="22.5546875" style="7" bestFit="1" customWidth="1"/>
    <col min="9220" max="9220" width="21.5546875" style="7" bestFit="1" customWidth="1"/>
    <col min="9221" max="9229" width="16.33203125" style="7" customWidth="1"/>
    <col min="9230" max="9230" width="16.44140625" style="7" customWidth="1"/>
    <col min="9231" max="9231" width="16.33203125" style="7" customWidth="1"/>
    <col min="9232" max="9232" width="4.6640625" style="7" customWidth="1"/>
    <col min="9233" max="9233" width="13.88671875" style="7" customWidth="1"/>
    <col min="9234" max="9234" width="13.109375" style="7" customWidth="1"/>
    <col min="9235" max="9235" width="11" style="7" customWidth="1"/>
    <col min="9236" max="9472" width="8.88671875" style="7"/>
    <col min="9473" max="9473" width="3.5546875" style="7" customWidth="1"/>
    <col min="9474" max="9474" width="25.5546875" style="7" customWidth="1"/>
    <col min="9475" max="9475" width="22.5546875" style="7" bestFit="1" customWidth="1"/>
    <col min="9476" max="9476" width="21.5546875" style="7" bestFit="1" customWidth="1"/>
    <col min="9477" max="9485" width="16.33203125" style="7" customWidth="1"/>
    <col min="9486" max="9486" width="16.44140625" style="7" customWidth="1"/>
    <col min="9487" max="9487" width="16.33203125" style="7" customWidth="1"/>
    <col min="9488" max="9488" width="4.6640625" style="7" customWidth="1"/>
    <col min="9489" max="9489" width="13.88671875" style="7" customWidth="1"/>
    <col min="9490" max="9490" width="13.109375" style="7" customWidth="1"/>
    <col min="9491" max="9491" width="11" style="7" customWidth="1"/>
    <col min="9492" max="9728" width="8.88671875" style="7"/>
    <col min="9729" max="9729" width="3.5546875" style="7" customWidth="1"/>
    <col min="9730" max="9730" width="25.5546875" style="7" customWidth="1"/>
    <col min="9731" max="9731" width="22.5546875" style="7" bestFit="1" customWidth="1"/>
    <col min="9732" max="9732" width="21.5546875" style="7" bestFit="1" customWidth="1"/>
    <col min="9733" max="9741" width="16.33203125" style="7" customWidth="1"/>
    <col min="9742" max="9742" width="16.44140625" style="7" customWidth="1"/>
    <col min="9743" max="9743" width="16.33203125" style="7" customWidth="1"/>
    <col min="9744" max="9744" width="4.6640625" style="7" customWidth="1"/>
    <col min="9745" max="9745" width="13.88671875" style="7" customWidth="1"/>
    <col min="9746" max="9746" width="13.109375" style="7" customWidth="1"/>
    <col min="9747" max="9747" width="11" style="7" customWidth="1"/>
    <col min="9748" max="9984" width="8.88671875" style="7"/>
    <col min="9985" max="9985" width="3.5546875" style="7" customWidth="1"/>
    <col min="9986" max="9986" width="25.5546875" style="7" customWidth="1"/>
    <col min="9987" max="9987" width="22.5546875" style="7" bestFit="1" customWidth="1"/>
    <col min="9988" max="9988" width="21.5546875" style="7" bestFit="1" customWidth="1"/>
    <col min="9989" max="9997" width="16.33203125" style="7" customWidth="1"/>
    <col min="9998" max="9998" width="16.44140625" style="7" customWidth="1"/>
    <col min="9999" max="9999" width="16.33203125" style="7" customWidth="1"/>
    <col min="10000" max="10000" width="4.6640625" style="7" customWidth="1"/>
    <col min="10001" max="10001" width="13.88671875" style="7" customWidth="1"/>
    <col min="10002" max="10002" width="13.109375" style="7" customWidth="1"/>
    <col min="10003" max="10003" width="11" style="7" customWidth="1"/>
    <col min="10004" max="10240" width="8.88671875" style="7"/>
    <col min="10241" max="10241" width="3.5546875" style="7" customWidth="1"/>
    <col min="10242" max="10242" width="25.5546875" style="7" customWidth="1"/>
    <col min="10243" max="10243" width="22.5546875" style="7" bestFit="1" customWidth="1"/>
    <col min="10244" max="10244" width="21.5546875" style="7" bestFit="1" customWidth="1"/>
    <col min="10245" max="10253" width="16.33203125" style="7" customWidth="1"/>
    <col min="10254" max="10254" width="16.44140625" style="7" customWidth="1"/>
    <col min="10255" max="10255" width="16.33203125" style="7" customWidth="1"/>
    <col min="10256" max="10256" width="4.6640625" style="7" customWidth="1"/>
    <col min="10257" max="10257" width="13.88671875" style="7" customWidth="1"/>
    <col min="10258" max="10258" width="13.109375" style="7" customWidth="1"/>
    <col min="10259" max="10259" width="11" style="7" customWidth="1"/>
    <col min="10260" max="10496" width="8.88671875" style="7"/>
    <col min="10497" max="10497" width="3.5546875" style="7" customWidth="1"/>
    <col min="10498" max="10498" width="25.5546875" style="7" customWidth="1"/>
    <col min="10499" max="10499" width="22.5546875" style="7" bestFit="1" customWidth="1"/>
    <col min="10500" max="10500" width="21.5546875" style="7" bestFit="1" customWidth="1"/>
    <col min="10501" max="10509" width="16.33203125" style="7" customWidth="1"/>
    <col min="10510" max="10510" width="16.44140625" style="7" customWidth="1"/>
    <col min="10511" max="10511" width="16.33203125" style="7" customWidth="1"/>
    <col min="10512" max="10512" width="4.6640625" style="7" customWidth="1"/>
    <col min="10513" max="10513" width="13.88671875" style="7" customWidth="1"/>
    <col min="10514" max="10514" width="13.109375" style="7" customWidth="1"/>
    <col min="10515" max="10515" width="11" style="7" customWidth="1"/>
    <col min="10516" max="10752" width="8.88671875" style="7"/>
    <col min="10753" max="10753" width="3.5546875" style="7" customWidth="1"/>
    <col min="10754" max="10754" width="25.5546875" style="7" customWidth="1"/>
    <col min="10755" max="10755" width="22.5546875" style="7" bestFit="1" customWidth="1"/>
    <col min="10756" max="10756" width="21.5546875" style="7" bestFit="1" customWidth="1"/>
    <col min="10757" max="10765" width="16.33203125" style="7" customWidth="1"/>
    <col min="10766" max="10766" width="16.44140625" style="7" customWidth="1"/>
    <col min="10767" max="10767" width="16.33203125" style="7" customWidth="1"/>
    <col min="10768" max="10768" width="4.6640625" style="7" customWidth="1"/>
    <col min="10769" max="10769" width="13.88671875" style="7" customWidth="1"/>
    <col min="10770" max="10770" width="13.109375" style="7" customWidth="1"/>
    <col min="10771" max="10771" width="11" style="7" customWidth="1"/>
    <col min="10772" max="11008" width="8.88671875" style="7"/>
    <col min="11009" max="11009" width="3.5546875" style="7" customWidth="1"/>
    <col min="11010" max="11010" width="25.5546875" style="7" customWidth="1"/>
    <col min="11011" max="11011" width="22.5546875" style="7" bestFit="1" customWidth="1"/>
    <col min="11012" max="11012" width="21.5546875" style="7" bestFit="1" customWidth="1"/>
    <col min="11013" max="11021" width="16.33203125" style="7" customWidth="1"/>
    <col min="11022" max="11022" width="16.44140625" style="7" customWidth="1"/>
    <col min="11023" max="11023" width="16.33203125" style="7" customWidth="1"/>
    <col min="11024" max="11024" width="4.6640625" style="7" customWidth="1"/>
    <col min="11025" max="11025" width="13.88671875" style="7" customWidth="1"/>
    <col min="11026" max="11026" width="13.109375" style="7" customWidth="1"/>
    <col min="11027" max="11027" width="11" style="7" customWidth="1"/>
    <col min="11028" max="11264" width="8.88671875" style="7"/>
    <col min="11265" max="11265" width="3.5546875" style="7" customWidth="1"/>
    <col min="11266" max="11266" width="25.5546875" style="7" customWidth="1"/>
    <col min="11267" max="11267" width="22.5546875" style="7" bestFit="1" customWidth="1"/>
    <col min="11268" max="11268" width="21.5546875" style="7" bestFit="1" customWidth="1"/>
    <col min="11269" max="11277" width="16.33203125" style="7" customWidth="1"/>
    <col min="11278" max="11278" width="16.44140625" style="7" customWidth="1"/>
    <col min="11279" max="11279" width="16.33203125" style="7" customWidth="1"/>
    <col min="11280" max="11280" width="4.6640625" style="7" customWidth="1"/>
    <col min="11281" max="11281" width="13.88671875" style="7" customWidth="1"/>
    <col min="11282" max="11282" width="13.109375" style="7" customWidth="1"/>
    <col min="11283" max="11283" width="11" style="7" customWidth="1"/>
    <col min="11284" max="11520" width="8.88671875" style="7"/>
    <col min="11521" max="11521" width="3.5546875" style="7" customWidth="1"/>
    <col min="11522" max="11522" width="25.5546875" style="7" customWidth="1"/>
    <col min="11523" max="11523" width="22.5546875" style="7" bestFit="1" customWidth="1"/>
    <col min="11524" max="11524" width="21.5546875" style="7" bestFit="1" customWidth="1"/>
    <col min="11525" max="11533" width="16.33203125" style="7" customWidth="1"/>
    <col min="11534" max="11534" width="16.44140625" style="7" customWidth="1"/>
    <col min="11535" max="11535" width="16.33203125" style="7" customWidth="1"/>
    <col min="11536" max="11536" width="4.6640625" style="7" customWidth="1"/>
    <col min="11537" max="11537" width="13.88671875" style="7" customWidth="1"/>
    <col min="11538" max="11538" width="13.109375" style="7" customWidth="1"/>
    <col min="11539" max="11539" width="11" style="7" customWidth="1"/>
    <col min="11540" max="11776" width="8.88671875" style="7"/>
    <col min="11777" max="11777" width="3.5546875" style="7" customWidth="1"/>
    <col min="11778" max="11778" width="25.5546875" style="7" customWidth="1"/>
    <col min="11779" max="11779" width="22.5546875" style="7" bestFit="1" customWidth="1"/>
    <col min="11780" max="11780" width="21.5546875" style="7" bestFit="1" customWidth="1"/>
    <col min="11781" max="11789" width="16.33203125" style="7" customWidth="1"/>
    <col min="11790" max="11790" width="16.44140625" style="7" customWidth="1"/>
    <col min="11791" max="11791" width="16.33203125" style="7" customWidth="1"/>
    <col min="11792" max="11792" width="4.6640625" style="7" customWidth="1"/>
    <col min="11793" max="11793" width="13.88671875" style="7" customWidth="1"/>
    <col min="11794" max="11794" width="13.109375" style="7" customWidth="1"/>
    <col min="11795" max="11795" width="11" style="7" customWidth="1"/>
    <col min="11796" max="12032" width="8.88671875" style="7"/>
    <col min="12033" max="12033" width="3.5546875" style="7" customWidth="1"/>
    <col min="12034" max="12034" width="25.5546875" style="7" customWidth="1"/>
    <col min="12035" max="12035" width="22.5546875" style="7" bestFit="1" customWidth="1"/>
    <col min="12036" max="12036" width="21.5546875" style="7" bestFit="1" customWidth="1"/>
    <col min="12037" max="12045" width="16.33203125" style="7" customWidth="1"/>
    <col min="12046" max="12046" width="16.44140625" style="7" customWidth="1"/>
    <col min="12047" max="12047" width="16.33203125" style="7" customWidth="1"/>
    <col min="12048" max="12048" width="4.6640625" style="7" customWidth="1"/>
    <col min="12049" max="12049" width="13.88671875" style="7" customWidth="1"/>
    <col min="12050" max="12050" width="13.109375" style="7" customWidth="1"/>
    <col min="12051" max="12051" width="11" style="7" customWidth="1"/>
    <col min="12052" max="12288" width="8.88671875" style="7"/>
    <col min="12289" max="12289" width="3.5546875" style="7" customWidth="1"/>
    <col min="12290" max="12290" width="25.5546875" style="7" customWidth="1"/>
    <col min="12291" max="12291" width="22.5546875" style="7" bestFit="1" customWidth="1"/>
    <col min="12292" max="12292" width="21.5546875" style="7" bestFit="1" customWidth="1"/>
    <col min="12293" max="12301" width="16.33203125" style="7" customWidth="1"/>
    <col min="12302" max="12302" width="16.44140625" style="7" customWidth="1"/>
    <col min="12303" max="12303" width="16.33203125" style="7" customWidth="1"/>
    <col min="12304" max="12304" width="4.6640625" style="7" customWidth="1"/>
    <col min="12305" max="12305" width="13.88671875" style="7" customWidth="1"/>
    <col min="12306" max="12306" width="13.109375" style="7" customWidth="1"/>
    <col min="12307" max="12307" width="11" style="7" customWidth="1"/>
    <col min="12308" max="12544" width="8.88671875" style="7"/>
    <col min="12545" max="12545" width="3.5546875" style="7" customWidth="1"/>
    <col min="12546" max="12546" width="25.5546875" style="7" customWidth="1"/>
    <col min="12547" max="12547" width="22.5546875" style="7" bestFit="1" customWidth="1"/>
    <col min="12548" max="12548" width="21.5546875" style="7" bestFit="1" customWidth="1"/>
    <col min="12549" max="12557" width="16.33203125" style="7" customWidth="1"/>
    <col min="12558" max="12558" width="16.44140625" style="7" customWidth="1"/>
    <col min="12559" max="12559" width="16.33203125" style="7" customWidth="1"/>
    <col min="12560" max="12560" width="4.6640625" style="7" customWidth="1"/>
    <col min="12561" max="12561" width="13.88671875" style="7" customWidth="1"/>
    <col min="12562" max="12562" width="13.109375" style="7" customWidth="1"/>
    <col min="12563" max="12563" width="11" style="7" customWidth="1"/>
    <col min="12564" max="12800" width="8.88671875" style="7"/>
    <col min="12801" max="12801" width="3.5546875" style="7" customWidth="1"/>
    <col min="12802" max="12802" width="25.5546875" style="7" customWidth="1"/>
    <col min="12803" max="12803" width="22.5546875" style="7" bestFit="1" customWidth="1"/>
    <col min="12804" max="12804" width="21.5546875" style="7" bestFit="1" customWidth="1"/>
    <col min="12805" max="12813" width="16.33203125" style="7" customWidth="1"/>
    <col min="12814" max="12814" width="16.44140625" style="7" customWidth="1"/>
    <col min="12815" max="12815" width="16.33203125" style="7" customWidth="1"/>
    <col min="12816" max="12816" width="4.6640625" style="7" customWidth="1"/>
    <col min="12817" max="12817" width="13.88671875" style="7" customWidth="1"/>
    <col min="12818" max="12818" width="13.109375" style="7" customWidth="1"/>
    <col min="12819" max="12819" width="11" style="7" customWidth="1"/>
    <col min="12820" max="13056" width="8.88671875" style="7"/>
    <col min="13057" max="13057" width="3.5546875" style="7" customWidth="1"/>
    <col min="13058" max="13058" width="25.5546875" style="7" customWidth="1"/>
    <col min="13059" max="13059" width="22.5546875" style="7" bestFit="1" customWidth="1"/>
    <col min="13060" max="13060" width="21.5546875" style="7" bestFit="1" customWidth="1"/>
    <col min="13061" max="13069" width="16.33203125" style="7" customWidth="1"/>
    <col min="13070" max="13070" width="16.44140625" style="7" customWidth="1"/>
    <col min="13071" max="13071" width="16.33203125" style="7" customWidth="1"/>
    <col min="13072" max="13072" width="4.6640625" style="7" customWidth="1"/>
    <col min="13073" max="13073" width="13.88671875" style="7" customWidth="1"/>
    <col min="13074" max="13074" width="13.109375" style="7" customWidth="1"/>
    <col min="13075" max="13075" width="11" style="7" customWidth="1"/>
    <col min="13076" max="13312" width="8.88671875" style="7"/>
    <col min="13313" max="13313" width="3.5546875" style="7" customWidth="1"/>
    <col min="13314" max="13314" width="25.5546875" style="7" customWidth="1"/>
    <col min="13315" max="13315" width="22.5546875" style="7" bestFit="1" customWidth="1"/>
    <col min="13316" max="13316" width="21.5546875" style="7" bestFit="1" customWidth="1"/>
    <col min="13317" max="13325" width="16.33203125" style="7" customWidth="1"/>
    <col min="13326" max="13326" width="16.44140625" style="7" customWidth="1"/>
    <col min="13327" max="13327" width="16.33203125" style="7" customWidth="1"/>
    <col min="13328" max="13328" width="4.6640625" style="7" customWidth="1"/>
    <col min="13329" max="13329" width="13.88671875" style="7" customWidth="1"/>
    <col min="13330" max="13330" width="13.109375" style="7" customWidth="1"/>
    <col min="13331" max="13331" width="11" style="7" customWidth="1"/>
    <col min="13332" max="13568" width="8.88671875" style="7"/>
    <col min="13569" max="13569" width="3.5546875" style="7" customWidth="1"/>
    <col min="13570" max="13570" width="25.5546875" style="7" customWidth="1"/>
    <col min="13571" max="13571" width="22.5546875" style="7" bestFit="1" customWidth="1"/>
    <col min="13572" max="13572" width="21.5546875" style="7" bestFit="1" customWidth="1"/>
    <col min="13573" max="13581" width="16.33203125" style="7" customWidth="1"/>
    <col min="13582" max="13582" width="16.44140625" style="7" customWidth="1"/>
    <col min="13583" max="13583" width="16.33203125" style="7" customWidth="1"/>
    <col min="13584" max="13584" width="4.6640625" style="7" customWidth="1"/>
    <col min="13585" max="13585" width="13.88671875" style="7" customWidth="1"/>
    <col min="13586" max="13586" width="13.109375" style="7" customWidth="1"/>
    <col min="13587" max="13587" width="11" style="7" customWidth="1"/>
    <col min="13588" max="13824" width="8.88671875" style="7"/>
    <col min="13825" max="13825" width="3.5546875" style="7" customWidth="1"/>
    <col min="13826" max="13826" width="25.5546875" style="7" customWidth="1"/>
    <col min="13827" max="13827" width="22.5546875" style="7" bestFit="1" customWidth="1"/>
    <col min="13828" max="13828" width="21.5546875" style="7" bestFit="1" customWidth="1"/>
    <col min="13829" max="13837" width="16.33203125" style="7" customWidth="1"/>
    <col min="13838" max="13838" width="16.44140625" style="7" customWidth="1"/>
    <col min="13839" max="13839" width="16.33203125" style="7" customWidth="1"/>
    <col min="13840" max="13840" width="4.6640625" style="7" customWidth="1"/>
    <col min="13841" max="13841" width="13.88671875" style="7" customWidth="1"/>
    <col min="13842" max="13842" width="13.109375" style="7" customWidth="1"/>
    <col min="13843" max="13843" width="11" style="7" customWidth="1"/>
    <col min="13844" max="14080" width="8.88671875" style="7"/>
    <col min="14081" max="14081" width="3.5546875" style="7" customWidth="1"/>
    <col min="14082" max="14082" width="25.5546875" style="7" customWidth="1"/>
    <col min="14083" max="14083" width="22.5546875" style="7" bestFit="1" customWidth="1"/>
    <col min="14084" max="14084" width="21.5546875" style="7" bestFit="1" customWidth="1"/>
    <col min="14085" max="14093" width="16.33203125" style="7" customWidth="1"/>
    <col min="14094" max="14094" width="16.44140625" style="7" customWidth="1"/>
    <col min="14095" max="14095" width="16.33203125" style="7" customWidth="1"/>
    <col min="14096" max="14096" width="4.6640625" style="7" customWidth="1"/>
    <col min="14097" max="14097" width="13.88671875" style="7" customWidth="1"/>
    <col min="14098" max="14098" width="13.109375" style="7" customWidth="1"/>
    <col min="14099" max="14099" width="11" style="7" customWidth="1"/>
    <col min="14100" max="14336" width="8.88671875" style="7"/>
    <col min="14337" max="14337" width="3.5546875" style="7" customWidth="1"/>
    <col min="14338" max="14338" width="25.5546875" style="7" customWidth="1"/>
    <col min="14339" max="14339" width="22.5546875" style="7" bestFit="1" customWidth="1"/>
    <col min="14340" max="14340" width="21.5546875" style="7" bestFit="1" customWidth="1"/>
    <col min="14341" max="14349" width="16.33203125" style="7" customWidth="1"/>
    <col min="14350" max="14350" width="16.44140625" style="7" customWidth="1"/>
    <col min="14351" max="14351" width="16.33203125" style="7" customWidth="1"/>
    <col min="14352" max="14352" width="4.6640625" style="7" customWidth="1"/>
    <col min="14353" max="14353" width="13.88671875" style="7" customWidth="1"/>
    <col min="14354" max="14354" width="13.109375" style="7" customWidth="1"/>
    <col min="14355" max="14355" width="11" style="7" customWidth="1"/>
    <col min="14356" max="14592" width="8.88671875" style="7"/>
    <col min="14593" max="14593" width="3.5546875" style="7" customWidth="1"/>
    <col min="14594" max="14594" width="25.5546875" style="7" customWidth="1"/>
    <col min="14595" max="14595" width="22.5546875" style="7" bestFit="1" customWidth="1"/>
    <col min="14596" max="14596" width="21.5546875" style="7" bestFit="1" customWidth="1"/>
    <col min="14597" max="14605" width="16.33203125" style="7" customWidth="1"/>
    <col min="14606" max="14606" width="16.44140625" style="7" customWidth="1"/>
    <col min="14607" max="14607" width="16.33203125" style="7" customWidth="1"/>
    <col min="14608" max="14608" width="4.6640625" style="7" customWidth="1"/>
    <col min="14609" max="14609" width="13.88671875" style="7" customWidth="1"/>
    <col min="14610" max="14610" width="13.109375" style="7" customWidth="1"/>
    <col min="14611" max="14611" width="11" style="7" customWidth="1"/>
    <col min="14612" max="14848" width="8.88671875" style="7"/>
    <col min="14849" max="14849" width="3.5546875" style="7" customWidth="1"/>
    <col min="14850" max="14850" width="25.5546875" style="7" customWidth="1"/>
    <col min="14851" max="14851" width="22.5546875" style="7" bestFit="1" customWidth="1"/>
    <col min="14852" max="14852" width="21.5546875" style="7" bestFit="1" customWidth="1"/>
    <col min="14853" max="14861" width="16.33203125" style="7" customWidth="1"/>
    <col min="14862" max="14862" width="16.44140625" style="7" customWidth="1"/>
    <col min="14863" max="14863" width="16.33203125" style="7" customWidth="1"/>
    <col min="14864" max="14864" width="4.6640625" style="7" customWidth="1"/>
    <col min="14865" max="14865" width="13.88671875" style="7" customWidth="1"/>
    <col min="14866" max="14866" width="13.109375" style="7" customWidth="1"/>
    <col min="14867" max="14867" width="11" style="7" customWidth="1"/>
    <col min="14868" max="15104" width="8.88671875" style="7"/>
    <col min="15105" max="15105" width="3.5546875" style="7" customWidth="1"/>
    <col min="15106" max="15106" width="25.5546875" style="7" customWidth="1"/>
    <col min="15107" max="15107" width="22.5546875" style="7" bestFit="1" customWidth="1"/>
    <col min="15108" max="15108" width="21.5546875" style="7" bestFit="1" customWidth="1"/>
    <col min="15109" max="15117" width="16.33203125" style="7" customWidth="1"/>
    <col min="15118" max="15118" width="16.44140625" style="7" customWidth="1"/>
    <col min="15119" max="15119" width="16.33203125" style="7" customWidth="1"/>
    <col min="15120" max="15120" width="4.6640625" style="7" customWidth="1"/>
    <col min="15121" max="15121" width="13.88671875" style="7" customWidth="1"/>
    <col min="15122" max="15122" width="13.109375" style="7" customWidth="1"/>
    <col min="15123" max="15123" width="11" style="7" customWidth="1"/>
    <col min="15124" max="15360" width="8.88671875" style="7"/>
    <col min="15361" max="15361" width="3.5546875" style="7" customWidth="1"/>
    <col min="15362" max="15362" width="25.5546875" style="7" customWidth="1"/>
    <col min="15363" max="15363" width="22.5546875" style="7" bestFit="1" customWidth="1"/>
    <col min="15364" max="15364" width="21.5546875" style="7" bestFit="1" customWidth="1"/>
    <col min="15365" max="15373" width="16.33203125" style="7" customWidth="1"/>
    <col min="15374" max="15374" width="16.44140625" style="7" customWidth="1"/>
    <col min="15375" max="15375" width="16.33203125" style="7" customWidth="1"/>
    <col min="15376" max="15376" width="4.6640625" style="7" customWidth="1"/>
    <col min="15377" max="15377" width="13.88671875" style="7" customWidth="1"/>
    <col min="15378" max="15378" width="13.109375" style="7" customWidth="1"/>
    <col min="15379" max="15379" width="11" style="7" customWidth="1"/>
    <col min="15380" max="15616" width="8.88671875" style="7"/>
    <col min="15617" max="15617" width="3.5546875" style="7" customWidth="1"/>
    <col min="15618" max="15618" width="25.5546875" style="7" customWidth="1"/>
    <col min="15619" max="15619" width="22.5546875" style="7" bestFit="1" customWidth="1"/>
    <col min="15620" max="15620" width="21.5546875" style="7" bestFit="1" customWidth="1"/>
    <col min="15621" max="15629" width="16.33203125" style="7" customWidth="1"/>
    <col min="15630" max="15630" width="16.44140625" style="7" customWidth="1"/>
    <col min="15631" max="15631" width="16.33203125" style="7" customWidth="1"/>
    <col min="15632" max="15632" width="4.6640625" style="7" customWidth="1"/>
    <col min="15633" max="15633" width="13.88671875" style="7" customWidth="1"/>
    <col min="15634" max="15634" width="13.109375" style="7" customWidth="1"/>
    <col min="15635" max="15635" width="11" style="7" customWidth="1"/>
    <col min="15636" max="15872" width="8.88671875" style="7"/>
    <col min="15873" max="15873" width="3.5546875" style="7" customWidth="1"/>
    <col min="15874" max="15874" width="25.5546875" style="7" customWidth="1"/>
    <col min="15875" max="15875" width="22.5546875" style="7" bestFit="1" customWidth="1"/>
    <col min="15876" max="15876" width="21.5546875" style="7" bestFit="1" customWidth="1"/>
    <col min="15877" max="15885" width="16.33203125" style="7" customWidth="1"/>
    <col min="15886" max="15886" width="16.44140625" style="7" customWidth="1"/>
    <col min="15887" max="15887" width="16.33203125" style="7" customWidth="1"/>
    <col min="15888" max="15888" width="4.6640625" style="7" customWidth="1"/>
    <col min="15889" max="15889" width="13.88671875" style="7" customWidth="1"/>
    <col min="15890" max="15890" width="13.109375" style="7" customWidth="1"/>
    <col min="15891" max="15891" width="11" style="7" customWidth="1"/>
    <col min="15892" max="16128" width="8.88671875" style="7"/>
    <col min="16129" max="16129" width="3.5546875" style="7" customWidth="1"/>
    <col min="16130" max="16130" width="25.5546875" style="7" customWidth="1"/>
    <col min="16131" max="16131" width="22.5546875" style="7" bestFit="1" customWidth="1"/>
    <col min="16132" max="16132" width="21.5546875" style="7" bestFit="1" customWidth="1"/>
    <col min="16133" max="16141" width="16.33203125" style="7" customWidth="1"/>
    <col min="16142" max="16142" width="16.44140625" style="7" customWidth="1"/>
    <col min="16143" max="16143" width="16.33203125" style="7" customWidth="1"/>
    <col min="16144" max="16144" width="4.6640625" style="7" customWidth="1"/>
    <col min="16145" max="16145" width="13.88671875" style="7" customWidth="1"/>
    <col min="16146" max="16146" width="13.109375" style="7" customWidth="1"/>
    <col min="16147" max="16147" width="11" style="7" customWidth="1"/>
    <col min="16148" max="16384" width="8.88671875" style="7"/>
  </cols>
  <sheetData>
    <row r="1" spans="2:19" ht="22.5" customHeight="1" x14ac:dyDescent="0.3"/>
    <row r="2" spans="2:19" ht="27.75" customHeight="1" x14ac:dyDescent="0.3">
      <c r="B2" s="236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8">
        <f>L24</f>
        <v>20.028397500000004</v>
      </c>
      <c r="O2" s="239"/>
    </row>
    <row r="3" spans="2:19" ht="6" customHeight="1" x14ac:dyDescent="0.3"/>
    <row r="4" spans="2:19" ht="22.5" customHeight="1" x14ac:dyDescent="0.3">
      <c r="B4" s="240" t="s">
        <v>20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8">
        <f ca="1">TODAY()</f>
        <v>46175</v>
      </c>
    </row>
    <row r="5" spans="2:19" ht="22.5" customHeight="1" x14ac:dyDescent="0.3">
      <c r="B5" s="9" t="s">
        <v>21</v>
      </c>
      <c r="C5" s="10">
        <v>600</v>
      </c>
      <c r="D5" s="9" t="s">
        <v>22</v>
      </c>
      <c r="E5" s="242" t="s">
        <v>23</v>
      </c>
      <c r="F5" s="242"/>
      <c r="G5" s="9" t="s">
        <v>24</v>
      </c>
      <c r="H5" s="243"/>
      <c r="I5" s="243"/>
      <c r="J5" s="9" t="s">
        <v>5</v>
      </c>
      <c r="K5" s="242" t="s">
        <v>25</v>
      </c>
      <c r="L5" s="242"/>
      <c r="M5" s="9" t="s">
        <v>4</v>
      </c>
      <c r="N5" s="242" t="s">
        <v>26</v>
      </c>
      <c r="O5" s="242"/>
    </row>
    <row r="6" spans="2:19" ht="6" customHeight="1" x14ac:dyDescent="0.3"/>
    <row r="7" spans="2:19" ht="22.5" customHeight="1" x14ac:dyDescent="0.3">
      <c r="B7" s="244" t="s">
        <v>27</v>
      </c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</row>
    <row r="8" spans="2:19" ht="40.5" customHeight="1" x14ac:dyDescent="0.3">
      <c r="B8" s="9" t="s">
        <v>28</v>
      </c>
      <c r="C8" s="9" t="s">
        <v>12</v>
      </c>
      <c r="D8" s="9" t="s">
        <v>29</v>
      </c>
      <c r="E8" s="9" t="s">
        <v>30</v>
      </c>
      <c r="F8" s="9" t="s">
        <v>31</v>
      </c>
      <c r="G8" s="12" t="s">
        <v>32</v>
      </c>
      <c r="H8" s="12" t="s">
        <v>33</v>
      </c>
      <c r="I8" s="12" t="s">
        <v>34</v>
      </c>
      <c r="J8" s="12" t="s">
        <v>35</v>
      </c>
      <c r="K8" s="13" t="s">
        <v>7</v>
      </c>
      <c r="L8" s="14" t="s">
        <v>36</v>
      </c>
      <c r="M8" s="14" t="s">
        <v>37</v>
      </c>
      <c r="N8" s="14" t="s">
        <v>38</v>
      </c>
      <c r="O8" s="15" t="s">
        <v>39</v>
      </c>
    </row>
    <row r="9" spans="2:19" ht="22.5" customHeight="1" x14ac:dyDescent="0.3">
      <c r="B9" s="11" t="s">
        <v>40</v>
      </c>
      <c r="C9" s="11"/>
      <c r="D9" s="11" t="s">
        <v>41</v>
      </c>
      <c r="E9" s="11" t="s">
        <v>42</v>
      </c>
      <c r="F9" s="11" t="s">
        <v>43</v>
      </c>
      <c r="G9" s="16" t="s">
        <v>44</v>
      </c>
      <c r="H9" s="17">
        <v>3.5</v>
      </c>
      <c r="I9" s="18"/>
      <c r="J9" s="18">
        <v>0</v>
      </c>
      <c r="K9" s="17">
        <f>H9+J9+I9</f>
        <v>3.5</v>
      </c>
      <c r="L9" s="18" t="s">
        <v>45</v>
      </c>
      <c r="M9" s="18" t="s">
        <v>46</v>
      </c>
      <c r="N9" s="19">
        <v>1.38</v>
      </c>
      <c r="O9" s="17">
        <f>K9*N9</f>
        <v>4.83</v>
      </c>
      <c r="S9" s="7">
        <f>80*3/(3.59*1.05)</f>
        <v>63.668921607640272</v>
      </c>
    </row>
    <row r="10" spans="2:19" ht="22.5" customHeight="1" x14ac:dyDescent="0.3">
      <c r="B10" s="11" t="s">
        <v>47</v>
      </c>
      <c r="C10" s="11"/>
      <c r="D10" s="11" t="s">
        <v>48</v>
      </c>
      <c r="E10" s="11" t="s">
        <v>42</v>
      </c>
      <c r="F10" s="11" t="s">
        <v>43</v>
      </c>
      <c r="G10" s="16" t="s">
        <v>44</v>
      </c>
      <c r="H10" s="17">
        <v>3.5</v>
      </c>
      <c r="I10" s="18"/>
      <c r="J10" s="18">
        <v>0</v>
      </c>
      <c r="K10" s="17">
        <f>H10+J10+I10</f>
        <v>3.5</v>
      </c>
      <c r="L10" s="18" t="s">
        <v>49</v>
      </c>
      <c r="M10" s="18" t="s">
        <v>46</v>
      </c>
      <c r="N10" s="19">
        <v>1.38</v>
      </c>
      <c r="O10" s="17">
        <f>K10*N10</f>
        <v>4.83</v>
      </c>
    </row>
    <row r="11" spans="2:19" ht="22.5" customHeight="1" x14ac:dyDescent="0.3">
      <c r="B11" s="11" t="s">
        <v>50</v>
      </c>
      <c r="C11" s="11"/>
      <c r="D11" s="11" t="s">
        <v>51</v>
      </c>
      <c r="E11" s="11" t="s">
        <v>42</v>
      </c>
      <c r="F11" s="11" t="s">
        <v>43</v>
      </c>
      <c r="G11" s="16" t="s">
        <v>52</v>
      </c>
      <c r="H11" s="17">
        <v>3.5</v>
      </c>
      <c r="I11" s="18"/>
      <c r="J11" s="18">
        <f>J10</f>
        <v>0</v>
      </c>
      <c r="K11" s="17">
        <f>H11+J11+I11</f>
        <v>3.5</v>
      </c>
      <c r="L11" s="18" t="s">
        <v>53</v>
      </c>
      <c r="M11" s="18" t="s">
        <v>54</v>
      </c>
      <c r="N11" s="19">
        <v>0.63</v>
      </c>
      <c r="O11" s="17">
        <f>K11*N11</f>
        <v>2.2050000000000001</v>
      </c>
    </row>
    <row r="12" spans="2:19" ht="22.5" customHeight="1" x14ac:dyDescent="0.3">
      <c r="G12" s="20"/>
      <c r="H12" s="20"/>
      <c r="I12" s="20"/>
      <c r="J12" s="20"/>
      <c r="K12" s="20"/>
      <c r="L12" s="20"/>
      <c r="N12" s="21">
        <f>SUM(N9:N11)</f>
        <v>3.3899999999999997</v>
      </c>
      <c r="O12" s="22">
        <f>SUM(O9:O11)</f>
        <v>11.865</v>
      </c>
      <c r="Q12" s="20"/>
    </row>
    <row r="13" spans="2:19" ht="6" customHeight="1" x14ac:dyDescent="0.3"/>
    <row r="14" spans="2:19" ht="22.5" customHeight="1" x14ac:dyDescent="0.3">
      <c r="B14" s="240" t="s">
        <v>55</v>
      </c>
      <c r="C14" s="241"/>
      <c r="D14" s="241"/>
      <c r="E14" s="245"/>
      <c r="G14" s="244" t="s">
        <v>56</v>
      </c>
      <c r="H14" s="244"/>
      <c r="I14" s="244"/>
      <c r="J14" s="244"/>
      <c r="K14" s="244"/>
      <c r="L14" s="244"/>
      <c r="M14" s="244"/>
    </row>
    <row r="15" spans="2:19" ht="22.5" customHeight="1" x14ac:dyDescent="0.3">
      <c r="B15" s="9" t="s">
        <v>57</v>
      </c>
      <c r="C15" s="9" t="s">
        <v>9</v>
      </c>
      <c r="D15" s="23" t="s">
        <v>58</v>
      </c>
      <c r="E15" s="23" t="s">
        <v>7</v>
      </c>
      <c r="G15" s="246" t="s">
        <v>59</v>
      </c>
      <c r="H15" s="247"/>
      <c r="I15" s="248"/>
      <c r="J15" s="23" t="s">
        <v>39</v>
      </c>
      <c r="K15" s="23" t="s">
        <v>60</v>
      </c>
      <c r="L15" s="23" t="s">
        <v>61</v>
      </c>
      <c r="M15" s="23" t="s">
        <v>8</v>
      </c>
    </row>
    <row r="16" spans="2:19" ht="22.5" customHeight="1" x14ac:dyDescent="0.3">
      <c r="B16" s="11" t="s">
        <v>62</v>
      </c>
      <c r="C16" s="11"/>
      <c r="D16" s="24"/>
      <c r="E16" s="24"/>
      <c r="G16" s="233" t="s">
        <v>63</v>
      </c>
      <c r="H16" s="234"/>
      <c r="I16" s="235"/>
      <c r="J16" s="17">
        <f>O12</f>
        <v>11.865</v>
      </c>
      <c r="K16" s="25">
        <v>0.05</v>
      </c>
      <c r="L16" s="17">
        <f>J16*(1+K16)</f>
        <v>12.458250000000001</v>
      </c>
      <c r="M16" s="25">
        <f>J16/SUM($J$16:$J$20)</f>
        <v>0.77220956719817768</v>
      </c>
    </row>
    <row r="17" spans="2:19" ht="22.5" customHeight="1" x14ac:dyDescent="0.3">
      <c r="B17" s="11" t="s">
        <v>62</v>
      </c>
      <c r="C17" s="11"/>
      <c r="D17" s="24"/>
      <c r="E17" s="24"/>
      <c r="G17" s="233" t="s">
        <v>64</v>
      </c>
      <c r="H17" s="234"/>
      <c r="I17" s="235"/>
      <c r="J17" s="17">
        <v>0</v>
      </c>
      <c r="K17" s="25">
        <v>0.1</v>
      </c>
      <c r="L17" s="17">
        <f>J17*(1+K17)</f>
        <v>0</v>
      </c>
      <c r="M17" s="25">
        <f>J17/SUM($J$16:$J$20)</f>
        <v>0</v>
      </c>
    </row>
    <row r="18" spans="2:19" ht="22.5" customHeight="1" x14ac:dyDescent="0.3">
      <c r="B18" s="11" t="s">
        <v>62</v>
      </c>
      <c r="C18" s="11"/>
      <c r="D18" s="24"/>
      <c r="E18" s="24"/>
      <c r="G18" s="233" t="s">
        <v>62</v>
      </c>
      <c r="H18" s="234"/>
      <c r="I18" s="235"/>
      <c r="J18" s="17">
        <v>3</v>
      </c>
      <c r="K18" s="25">
        <v>0.1</v>
      </c>
      <c r="L18" s="17">
        <f>J18*(1+K18)</f>
        <v>3.3000000000000003</v>
      </c>
      <c r="M18" s="25">
        <f>J18/SUM($J$16:$J$20)</f>
        <v>0.19524894240156199</v>
      </c>
    </row>
    <row r="19" spans="2:19" ht="22.5" customHeight="1" x14ac:dyDescent="0.3">
      <c r="B19" s="11" t="s">
        <v>62</v>
      </c>
      <c r="C19" s="11"/>
      <c r="D19" s="24"/>
      <c r="E19" s="24"/>
      <c r="G19" s="233" t="s">
        <v>65</v>
      </c>
      <c r="H19" s="234"/>
      <c r="I19" s="235"/>
      <c r="J19" s="17">
        <v>0.5</v>
      </c>
      <c r="K19" s="25">
        <v>0.05</v>
      </c>
      <c r="L19" s="17">
        <f>J19*(1+K19)</f>
        <v>0.52500000000000002</v>
      </c>
      <c r="M19" s="25">
        <f>J19/SUM($J$16:$J$20)</f>
        <v>3.2541490400260331E-2</v>
      </c>
      <c r="O19" s="26"/>
      <c r="R19" s="27"/>
    </row>
    <row r="20" spans="2:19" ht="22.5" customHeight="1" x14ac:dyDescent="0.3">
      <c r="B20" s="7"/>
      <c r="C20" s="7"/>
      <c r="D20" s="7"/>
      <c r="E20" s="28">
        <v>17</v>
      </c>
      <c r="G20" s="233" t="s">
        <v>66</v>
      </c>
      <c r="H20" s="234"/>
      <c r="I20" s="235"/>
      <c r="J20" s="17">
        <v>0</v>
      </c>
      <c r="K20" s="25">
        <v>0.03</v>
      </c>
      <c r="L20" s="17">
        <f>J20*(1+K20)</f>
        <v>0</v>
      </c>
      <c r="M20" s="25">
        <f>J20/SUM($J$16:$J$20)</f>
        <v>0</v>
      </c>
      <c r="P20" s="26"/>
      <c r="Q20" s="26"/>
      <c r="R20" s="27"/>
    </row>
    <row r="21" spans="2:19" ht="22.5" customHeight="1" x14ac:dyDescent="0.3">
      <c r="G21" s="230" t="s">
        <v>7</v>
      </c>
      <c r="H21" s="231"/>
      <c r="I21" s="232"/>
      <c r="K21" s="26"/>
      <c r="L21" s="17">
        <f>SUM(L16:L20)</f>
        <v>16.283250000000002</v>
      </c>
      <c r="M21" s="25">
        <f>SUM(M16:M20)</f>
        <v>1</v>
      </c>
      <c r="Q21" s="26"/>
      <c r="R21" s="26"/>
      <c r="S21" s="27"/>
    </row>
    <row r="22" spans="2:19" ht="22.5" customHeight="1" x14ac:dyDescent="0.25">
      <c r="B22" s="11" t="s">
        <v>67</v>
      </c>
      <c r="C22" s="29"/>
      <c r="D22" s="24"/>
      <c r="E22" s="24"/>
      <c r="K22" s="26"/>
      <c r="L22" s="30"/>
      <c r="Q22" s="26"/>
      <c r="R22" s="26"/>
      <c r="S22" s="27"/>
    </row>
    <row r="23" spans="2:19" ht="22.5" customHeight="1" x14ac:dyDescent="0.3">
      <c r="B23" s="11" t="s">
        <v>68</v>
      </c>
      <c r="C23" s="29"/>
      <c r="D23" s="24"/>
      <c r="E23" s="24"/>
      <c r="G23" s="230" t="s">
        <v>69</v>
      </c>
      <c r="H23" s="231"/>
      <c r="I23" s="232"/>
      <c r="K23" s="26"/>
      <c r="L23" s="31">
        <v>0.23</v>
      </c>
      <c r="N23" s="32">
        <v>0</v>
      </c>
      <c r="Q23" s="26"/>
      <c r="R23" s="26"/>
      <c r="S23" s="27"/>
    </row>
    <row r="24" spans="2:19" ht="22.5" customHeight="1" x14ac:dyDescent="0.3">
      <c r="B24" s="11" t="s">
        <v>70</v>
      </c>
      <c r="C24" s="29"/>
      <c r="D24" s="24"/>
      <c r="E24" s="24"/>
      <c r="G24" s="230" t="s">
        <v>71</v>
      </c>
      <c r="H24" s="231"/>
      <c r="I24" s="232"/>
      <c r="K24" s="26"/>
      <c r="L24" s="33">
        <f>L21*(1+L23)</f>
        <v>20.028397500000004</v>
      </c>
      <c r="P24" s="26"/>
      <c r="Q24" s="26"/>
      <c r="R24" s="26"/>
      <c r="S24" s="27"/>
    </row>
    <row r="25" spans="2:19" ht="22.5" customHeight="1" x14ac:dyDescent="0.25">
      <c r="B25" s="11" t="s">
        <v>72</v>
      </c>
      <c r="C25" s="29"/>
      <c r="D25" s="24"/>
      <c r="E25" s="24"/>
      <c r="K25" s="26"/>
      <c r="L25" s="26"/>
      <c r="M25" s="30"/>
      <c r="P25" s="26"/>
      <c r="Q25" s="26"/>
      <c r="R25" s="26"/>
      <c r="S25" s="27"/>
    </row>
    <row r="26" spans="2:19" ht="22.5" customHeight="1" x14ac:dyDescent="0.3">
      <c r="B26" s="11" t="s">
        <v>73</v>
      </c>
      <c r="C26" s="29"/>
      <c r="D26" s="24"/>
      <c r="E26" s="24"/>
      <c r="G26" s="230" t="s">
        <v>71</v>
      </c>
      <c r="H26" s="231"/>
      <c r="I26" s="232"/>
      <c r="L26" s="33">
        <f>L24*C5</f>
        <v>12017.038500000002</v>
      </c>
    </row>
    <row r="27" spans="2:19" ht="22.5" customHeight="1" x14ac:dyDescent="0.3">
      <c r="D27" s="20"/>
      <c r="E27" s="28">
        <f>SUM(E22:E26)</f>
        <v>0</v>
      </c>
      <c r="G27" s="230" t="s">
        <v>74</v>
      </c>
      <c r="H27" s="231"/>
      <c r="I27" s="232"/>
      <c r="J27" s="34" t="s">
        <v>60</v>
      </c>
      <c r="K27" s="35">
        <v>0.1</v>
      </c>
      <c r="L27" s="36">
        <f>N12*C5*(1+K27)</f>
        <v>2237.4</v>
      </c>
    </row>
    <row r="28" spans="2:19" x14ac:dyDescent="0.3"/>
    <row r="29" spans="2:19" x14ac:dyDescent="0.3">
      <c r="C29" s="7"/>
      <c r="D29" s="7"/>
    </row>
    <row r="30" spans="2:19" x14ac:dyDescent="0.3"/>
    <row r="31" spans="2:19" x14ac:dyDescent="0.3"/>
    <row r="32" spans="2:19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</sheetData>
  <mergeCells count="21">
    <mergeCell ref="G17:I17"/>
    <mergeCell ref="B2:M2"/>
    <mergeCell ref="N2:O2"/>
    <mergeCell ref="B4:N4"/>
    <mergeCell ref="E5:F5"/>
    <mergeCell ref="H5:I5"/>
    <mergeCell ref="K5:L5"/>
    <mergeCell ref="N5:O5"/>
    <mergeCell ref="B7:O7"/>
    <mergeCell ref="B14:E14"/>
    <mergeCell ref="G14:M14"/>
    <mergeCell ref="G15:I15"/>
    <mergeCell ref="G16:I16"/>
    <mergeCell ref="G26:I26"/>
    <mergeCell ref="G27:I27"/>
    <mergeCell ref="G18:I18"/>
    <mergeCell ref="G19:I19"/>
    <mergeCell ref="G20:I20"/>
    <mergeCell ref="G21:I21"/>
    <mergeCell ref="G23:I23"/>
    <mergeCell ref="G24:I24"/>
  </mergeCells>
  <conditionalFormatting sqref="H9:K11 N9:N12">
    <cfRule type="cellIs" dxfId="0" priority="1" stopIfTrue="1" operator="equal">
      <formula>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2</xdr:col>
                    <xdr:colOff>1013460</xdr:colOff>
                    <xdr:row>4</xdr:row>
                    <xdr:rowOff>7620</xdr:rowOff>
                  </from>
                  <to>
                    <xdr:col>3</xdr:col>
                    <xdr:colOff>0</xdr:colOff>
                    <xdr:row>4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12</xdr:col>
                    <xdr:colOff>198120</xdr:colOff>
                    <xdr:row>22</xdr:row>
                    <xdr:rowOff>30480</xdr:rowOff>
                  </from>
                  <to>
                    <xdr:col>12</xdr:col>
                    <xdr:colOff>563880</xdr:colOff>
                    <xdr:row>23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Pict="0">
                <anchor moveWithCells="1" sizeWithCells="1">
                  <from>
                    <xdr:col>12</xdr:col>
                    <xdr:colOff>571500</xdr:colOff>
                    <xdr:row>22</xdr:row>
                    <xdr:rowOff>30480</xdr:rowOff>
                  </from>
                  <to>
                    <xdr:col>12</xdr:col>
                    <xdr:colOff>937260</xdr:colOff>
                    <xdr:row>23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pinner 4">
              <controlPr defaultSize="0" autoPict="0">
                <anchor moveWithCells="1" sizeWithCells="1">
                  <from>
                    <xdr:col>12</xdr:col>
                    <xdr:colOff>937260</xdr:colOff>
                    <xdr:row>22</xdr:row>
                    <xdr:rowOff>30480</xdr:rowOff>
                  </from>
                  <to>
                    <xdr:col>13</xdr:col>
                    <xdr:colOff>182880</xdr:colOff>
                    <xdr:row>23</xdr:row>
                    <xdr:rowOff>259080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8">
    <tabColor theme="3" tint="0.79998168889431442"/>
  </sheetPr>
  <dimension ref="A1:AI27"/>
  <sheetViews>
    <sheetView zoomScaleNormal="100" workbookViewId="0">
      <selection activeCell="O25" sqref="O25:U25"/>
    </sheetView>
  </sheetViews>
  <sheetFormatPr defaultColWidth="8.88671875" defaultRowHeight="14.4" x14ac:dyDescent="0.3"/>
  <cols>
    <col min="1" max="35" width="5.6640625" style="1" customWidth="1"/>
    <col min="36" max="16384" width="8.88671875" style="1"/>
  </cols>
  <sheetData>
    <row r="1" spans="1:35" x14ac:dyDescent="0.3">
      <c r="A1" s="250" t="s">
        <v>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</row>
    <row r="2" spans="1:35" x14ac:dyDescent="0.3">
      <c r="A2" s="251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</row>
    <row r="3" spans="1:35" s="5" customFormat="1" x14ac:dyDescent="0.3">
      <c r="A3" s="252" t="s">
        <v>15</v>
      </c>
      <c r="B3" s="252"/>
      <c r="C3" s="252"/>
      <c r="D3" s="252"/>
      <c r="E3" s="252"/>
      <c r="F3" s="252"/>
      <c r="G3" s="252"/>
      <c r="H3" s="252" t="s">
        <v>16</v>
      </c>
      <c r="I3" s="252"/>
      <c r="J3" s="252"/>
      <c r="K3" s="252"/>
      <c r="L3" s="252"/>
      <c r="M3" s="252"/>
      <c r="N3" s="252"/>
      <c r="O3" s="252" t="s">
        <v>17</v>
      </c>
      <c r="P3" s="252"/>
      <c r="Q3" s="252"/>
      <c r="R3" s="252"/>
      <c r="S3" s="252"/>
      <c r="T3" s="252"/>
      <c r="U3" s="252"/>
      <c r="V3" s="252" t="s">
        <v>18</v>
      </c>
      <c r="W3" s="252"/>
      <c r="X3" s="252"/>
      <c r="Y3" s="252"/>
      <c r="Z3" s="252"/>
      <c r="AA3" s="252"/>
      <c r="AB3" s="252"/>
      <c r="AC3" s="252" t="s">
        <v>19</v>
      </c>
      <c r="AD3" s="252"/>
      <c r="AE3" s="252"/>
      <c r="AF3" s="252"/>
      <c r="AG3" s="252"/>
      <c r="AH3" s="252"/>
      <c r="AI3" s="252"/>
    </row>
    <row r="4" spans="1:35" x14ac:dyDescent="0.3">
      <c r="A4" s="249"/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</row>
    <row r="5" spans="1:35" x14ac:dyDescent="0.3">
      <c r="A5" s="249"/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</row>
    <row r="6" spans="1:35" x14ac:dyDescent="0.3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</row>
    <row r="7" spans="1:35" x14ac:dyDescent="0.3">
      <c r="A7" s="249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</row>
    <row r="8" spans="1:35" x14ac:dyDescent="0.3">
      <c r="A8" s="249"/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  <c r="AA8" s="249"/>
      <c r="AB8" s="249"/>
      <c r="AC8" s="249"/>
      <c r="AD8" s="249"/>
      <c r="AE8" s="249"/>
      <c r="AF8" s="249"/>
      <c r="AG8" s="249"/>
      <c r="AH8" s="249"/>
      <c r="AI8" s="249"/>
    </row>
    <row r="9" spans="1:35" x14ac:dyDescent="0.3">
      <c r="A9" s="249"/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  <c r="AF9" s="249"/>
      <c r="AG9" s="249"/>
      <c r="AH9" s="249"/>
      <c r="AI9" s="249"/>
    </row>
    <row r="10" spans="1:35" x14ac:dyDescent="0.3">
      <c r="A10" s="249"/>
      <c r="B10" s="249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249"/>
      <c r="AF10" s="249"/>
      <c r="AG10" s="249"/>
      <c r="AH10" s="249"/>
      <c r="AI10" s="249"/>
    </row>
    <row r="11" spans="1:35" x14ac:dyDescent="0.3">
      <c r="A11" s="249"/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249"/>
      <c r="AF11" s="249"/>
      <c r="AG11" s="249"/>
      <c r="AH11" s="249"/>
      <c r="AI11" s="249"/>
    </row>
    <row r="12" spans="1:35" x14ac:dyDescent="0.3">
      <c r="A12" s="249"/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49"/>
    </row>
    <row r="13" spans="1:35" x14ac:dyDescent="0.3">
      <c r="A13" s="249"/>
      <c r="B13" s="249"/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</row>
    <row r="14" spans="1:35" x14ac:dyDescent="0.3">
      <c r="A14" s="249"/>
      <c r="B14" s="249"/>
      <c r="C14" s="249"/>
      <c r="D14" s="249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249"/>
      <c r="AF14" s="249"/>
      <c r="AG14" s="249"/>
      <c r="AH14" s="249"/>
      <c r="AI14" s="249"/>
    </row>
    <row r="15" spans="1:35" x14ac:dyDescent="0.3">
      <c r="A15" s="249"/>
      <c r="B15" s="249"/>
      <c r="C15" s="249"/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249"/>
      <c r="AF15" s="249"/>
      <c r="AG15" s="249"/>
      <c r="AH15" s="249"/>
      <c r="AI15" s="249"/>
    </row>
    <row r="16" spans="1:35" x14ac:dyDescent="0.3">
      <c r="A16" s="249"/>
      <c r="B16" s="249"/>
      <c r="C16" s="249"/>
      <c r="D16" s="249"/>
      <c r="E16" s="249"/>
      <c r="F16" s="249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249"/>
      <c r="AF16" s="249"/>
      <c r="AG16" s="249"/>
      <c r="AH16" s="249"/>
      <c r="AI16" s="249"/>
    </row>
    <row r="17" spans="1:35" x14ac:dyDescent="0.3">
      <c r="A17" s="249"/>
      <c r="B17" s="249"/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249"/>
      <c r="AF17" s="249"/>
      <c r="AG17" s="249"/>
      <c r="AH17" s="249"/>
      <c r="AI17" s="249"/>
    </row>
    <row r="18" spans="1:35" x14ac:dyDescent="0.3">
      <c r="A18" s="249"/>
      <c r="B18" s="249"/>
      <c r="C18" s="249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</row>
    <row r="19" spans="1:35" x14ac:dyDescent="0.3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</row>
    <row r="20" spans="1:35" x14ac:dyDescent="0.3">
      <c r="A20" s="249"/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</row>
    <row r="21" spans="1:35" x14ac:dyDescent="0.3">
      <c r="A21" s="249"/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</row>
    <row r="22" spans="1:35" x14ac:dyDescent="0.3">
      <c r="A22" s="249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</row>
    <row r="23" spans="1:35" x14ac:dyDescent="0.3">
      <c r="A23" s="249"/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</row>
    <row r="24" spans="1:35" x14ac:dyDescent="0.3">
      <c r="A24" s="249"/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</row>
    <row r="25" spans="1:35" x14ac:dyDescent="0.3">
      <c r="A25" s="249"/>
      <c r="B25" s="249"/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</row>
    <row r="26" spans="1:35" x14ac:dyDescent="0.3">
      <c r="A26" s="249"/>
      <c r="B26" s="249"/>
      <c r="C26" s="249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249"/>
      <c r="AI26" s="249"/>
    </row>
    <row r="27" spans="1:35" x14ac:dyDescent="0.3">
      <c r="A27" s="249"/>
      <c r="B27" s="249"/>
      <c r="C27" s="249"/>
      <c r="D27" s="249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249"/>
      <c r="AB27" s="249"/>
      <c r="AC27" s="249"/>
      <c r="AD27" s="249"/>
      <c r="AE27" s="249"/>
      <c r="AF27" s="249"/>
      <c r="AG27" s="249"/>
      <c r="AH27" s="249"/>
      <c r="AI27" s="249"/>
    </row>
  </sheetData>
  <mergeCells count="126">
    <mergeCell ref="A3:G3"/>
    <mergeCell ref="H3:N3"/>
    <mergeCell ref="O3:U3"/>
    <mergeCell ref="V3:AB3"/>
    <mergeCell ref="A4:G4"/>
    <mergeCell ref="H4:N4"/>
    <mergeCell ref="O4:U4"/>
    <mergeCell ref="V4:AB4"/>
    <mergeCell ref="A7:G7"/>
    <mergeCell ref="H7:N7"/>
    <mergeCell ref="O7:U7"/>
    <mergeCell ref="V7:AB7"/>
    <mergeCell ref="A8:G8"/>
    <mergeCell ref="H8:N8"/>
    <mergeCell ref="O8:U8"/>
    <mergeCell ref="V8:AB8"/>
    <mergeCell ref="A5:G5"/>
    <mergeCell ref="H5:N5"/>
    <mergeCell ref="O5:U5"/>
    <mergeCell ref="V5:AB5"/>
    <mergeCell ref="A6:G6"/>
    <mergeCell ref="H6:N6"/>
    <mergeCell ref="O6:U6"/>
    <mergeCell ref="V6:AB6"/>
    <mergeCell ref="A11:G11"/>
    <mergeCell ref="H11:N11"/>
    <mergeCell ref="O11:U11"/>
    <mergeCell ref="V11:AB11"/>
    <mergeCell ref="A12:G12"/>
    <mergeCell ref="H12:N12"/>
    <mergeCell ref="O12:U12"/>
    <mergeCell ref="V12:AB12"/>
    <mergeCell ref="A9:G9"/>
    <mergeCell ref="H9:N9"/>
    <mergeCell ref="O9:U9"/>
    <mergeCell ref="V9:AB9"/>
    <mergeCell ref="A10:G10"/>
    <mergeCell ref="H10:N10"/>
    <mergeCell ref="O10:U10"/>
    <mergeCell ref="V10:AB10"/>
    <mergeCell ref="A15:G15"/>
    <mergeCell ref="H15:N15"/>
    <mergeCell ref="O15:U15"/>
    <mergeCell ref="V15:AB15"/>
    <mergeCell ref="A16:G16"/>
    <mergeCell ref="H16:N16"/>
    <mergeCell ref="O16:U16"/>
    <mergeCell ref="V16:AB16"/>
    <mergeCell ref="A13:G13"/>
    <mergeCell ref="H13:N13"/>
    <mergeCell ref="O13:U13"/>
    <mergeCell ref="V13:AB13"/>
    <mergeCell ref="A14:G14"/>
    <mergeCell ref="H14:N14"/>
    <mergeCell ref="O14:U14"/>
    <mergeCell ref="V14:AB14"/>
    <mergeCell ref="O20:U20"/>
    <mergeCell ref="V20:AB20"/>
    <mergeCell ref="A17:G17"/>
    <mergeCell ref="H17:N17"/>
    <mergeCell ref="O17:U17"/>
    <mergeCell ref="V17:AB17"/>
    <mergeCell ref="A18:G18"/>
    <mergeCell ref="H18:N18"/>
    <mergeCell ref="O18:U18"/>
    <mergeCell ref="V18:AB18"/>
    <mergeCell ref="A26:G26"/>
    <mergeCell ref="H26:N26"/>
    <mergeCell ref="O26:U26"/>
    <mergeCell ref="V26:AB26"/>
    <mergeCell ref="A23:G23"/>
    <mergeCell ref="H23:N23"/>
    <mergeCell ref="O23:U23"/>
    <mergeCell ref="V23:AB23"/>
    <mergeCell ref="A24:G24"/>
    <mergeCell ref="H24:N24"/>
    <mergeCell ref="O24:U24"/>
    <mergeCell ref="V24:AB24"/>
    <mergeCell ref="AC3:AI3"/>
    <mergeCell ref="AC4:AI4"/>
    <mergeCell ref="AC5:AI5"/>
    <mergeCell ref="AC6:AI6"/>
    <mergeCell ref="AC7:AI7"/>
    <mergeCell ref="AC8:AI8"/>
    <mergeCell ref="A25:G25"/>
    <mergeCell ref="H25:N25"/>
    <mergeCell ref="O25:U25"/>
    <mergeCell ref="V25:AB25"/>
    <mergeCell ref="A21:G21"/>
    <mergeCell ref="H21:N21"/>
    <mergeCell ref="O21:U21"/>
    <mergeCell ref="V21:AB21"/>
    <mergeCell ref="A22:G22"/>
    <mergeCell ref="H22:N22"/>
    <mergeCell ref="O22:U22"/>
    <mergeCell ref="V22:AB22"/>
    <mergeCell ref="A19:G19"/>
    <mergeCell ref="H19:N19"/>
    <mergeCell ref="O19:U19"/>
    <mergeCell ref="V19:AB19"/>
    <mergeCell ref="A20:G20"/>
    <mergeCell ref="H20:N20"/>
    <mergeCell ref="AC27:AI27"/>
    <mergeCell ref="A1:AI2"/>
    <mergeCell ref="AC21:AI21"/>
    <mergeCell ref="AC22:AI22"/>
    <mergeCell ref="AC23:AI23"/>
    <mergeCell ref="AC24:AI24"/>
    <mergeCell ref="AC25:AI25"/>
    <mergeCell ref="AC26:AI26"/>
    <mergeCell ref="AC15:AI15"/>
    <mergeCell ref="AC16:AI16"/>
    <mergeCell ref="AC17:AI17"/>
    <mergeCell ref="AC18:AI18"/>
    <mergeCell ref="AC19:AI19"/>
    <mergeCell ref="AC20:AI20"/>
    <mergeCell ref="AC9:AI9"/>
    <mergeCell ref="AC10:AI10"/>
    <mergeCell ref="AC11:AI11"/>
    <mergeCell ref="AC12:AI12"/>
    <mergeCell ref="AC13:AI13"/>
    <mergeCell ref="AC14:AI14"/>
    <mergeCell ref="A27:G27"/>
    <mergeCell ref="H27:N27"/>
    <mergeCell ref="O27:U27"/>
    <mergeCell ref="V27:A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37</vt:i4>
      </vt:variant>
      <vt:variant>
        <vt:lpstr>Adlandırılmış Aralıklar</vt:lpstr>
      </vt:variant>
      <vt:variant>
        <vt:i4>2</vt:i4>
      </vt:variant>
    </vt:vector>
  </HeadingPairs>
  <TitlesOfParts>
    <vt:vector size="39" baseType="lpstr">
      <vt:lpstr>KUMAŞ SİPARİŞ FORMU</vt:lpstr>
      <vt:lpstr>SİPARİŞ FORMU</vt:lpstr>
      <vt:lpstr>Pastal</vt:lpstr>
      <vt:lpstr>Kesim Ölçüleri</vt:lpstr>
      <vt:lpstr>Genel Durum</vt:lpstr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No.10</vt:lpstr>
      <vt:lpstr>No.11</vt:lpstr>
      <vt:lpstr>No.12</vt:lpstr>
      <vt:lpstr>No.13</vt:lpstr>
      <vt:lpstr>No.14</vt:lpstr>
      <vt:lpstr>No.15</vt:lpstr>
      <vt:lpstr>No.16</vt:lpstr>
      <vt:lpstr>No.17</vt:lpstr>
      <vt:lpstr>No.18</vt:lpstr>
      <vt:lpstr>No.19</vt:lpstr>
      <vt:lpstr>No.20</vt:lpstr>
      <vt:lpstr>No.21</vt:lpstr>
      <vt:lpstr>No.22</vt:lpstr>
      <vt:lpstr>No.23</vt:lpstr>
      <vt:lpstr>No.24</vt:lpstr>
      <vt:lpstr>No.25</vt:lpstr>
      <vt:lpstr>No.26</vt:lpstr>
      <vt:lpstr>No.27</vt:lpstr>
      <vt:lpstr>No.28</vt:lpstr>
      <vt:lpstr>No.29</vt:lpstr>
      <vt:lpstr>No.30</vt:lpstr>
      <vt:lpstr>MALİYET</vt:lpstr>
      <vt:lpstr>NOTLAR</vt:lpstr>
      <vt:lpstr>'KUMAŞ SİPARİŞ FORMU'!Yazdırma_Alanı</vt:lpstr>
      <vt:lpstr>'SİPARİŞ FORMU'!Yazdırma_Alanı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Göksel GÜDÜK</cp:lastModifiedBy>
  <cp:lastPrinted>2026-01-08T10:18:14Z</cp:lastPrinted>
  <dcterms:created xsi:type="dcterms:W3CDTF">2023-10-05T08:17:44Z</dcterms:created>
  <dcterms:modified xsi:type="dcterms:W3CDTF">2026-06-02T14:23:00Z</dcterms:modified>
</cp:coreProperties>
</file>